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Deyet\Dropbox\Mios\Portafolio\"/>
    </mc:Choice>
  </mc:AlternateContent>
  <xr:revisionPtr revIDLastSave="0" documentId="13_ncr:1_{51926052-4CF1-4226-8B45-231EE965989F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Menú" sheetId="2" r:id="rId1"/>
    <sheet name="Matriz" sheetId="1" r:id="rId2"/>
    <sheet name="Grafico_Mensual" sheetId="5" r:id="rId3"/>
    <sheet name="Resumen KPIs" sheetId="3" r:id="rId4"/>
    <sheet name="td_PaisAnio" sheetId="4" r:id="rId5"/>
    <sheet name="Parametros" sheetId="6" r:id="rId6"/>
    <sheet name="Macros" sheetId="7" r:id="rId7"/>
  </sheets>
  <definedNames>
    <definedName name="_xlnm._FilterDatabase" localSheetId="1" hidden="1">Matriz!$P$1:$P$1</definedName>
    <definedName name="SegmentaciónDeDatos_Año">#N/A</definedName>
    <definedName name="SegmentaciónDeDatos_Categoría">#N/A</definedName>
    <definedName name="SegmentaciónDeDatos_Mes">#N/A</definedName>
    <definedName name="SegmentaciónDeDatos_País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A14" i="4"/>
  <c r="M2" i="1"/>
  <c r="A4" i="6" a="1"/>
  <c r="A4" i="6" s="1"/>
  <c r="D1" i="6"/>
  <c r="C24" i="6"/>
  <c r="C25" i="6"/>
  <c r="C26" i="6"/>
  <c r="B24" i="6"/>
  <c r="B25" i="6"/>
  <c r="B26" i="6"/>
  <c r="H3" i="6"/>
  <c r="N2" i="6" a="1"/>
  <c r="N2" i="6" s="1"/>
  <c r="L2" i="1"/>
  <c r="L3" i="1"/>
  <c r="L4" i="1"/>
  <c r="M4" i="1" s="1"/>
  <c r="L5" i="1"/>
  <c r="M5" i="1" s="1"/>
  <c r="L6" i="1"/>
  <c r="M6" i="1" s="1"/>
  <c r="L7" i="1"/>
  <c r="L8" i="1"/>
  <c r="L9" i="1"/>
  <c r="M9" i="1" s="1"/>
  <c r="L10" i="1"/>
  <c r="M10" i="1" s="1"/>
  <c r="L11" i="1"/>
  <c r="M11" i="1" s="1"/>
  <c r="L12" i="1"/>
  <c r="M12" i="1" s="1"/>
  <c r="L13" i="1"/>
  <c r="M13" i="1" s="1"/>
  <c r="L14" i="1"/>
  <c r="L15" i="1"/>
  <c r="L16" i="1"/>
  <c r="M16" i="1" s="1"/>
  <c r="N16" i="1" s="1"/>
  <c r="L17" i="1"/>
  <c r="M17" i="1" s="1"/>
  <c r="N17" i="1" s="1"/>
  <c r="L18" i="1"/>
  <c r="L19" i="1"/>
  <c r="L20" i="1"/>
  <c r="L21" i="1"/>
  <c r="M21" i="1" s="1"/>
  <c r="L22" i="1"/>
  <c r="M22" i="1" s="1"/>
  <c r="L23" i="1"/>
  <c r="M23" i="1" s="1"/>
  <c r="L24" i="1"/>
  <c r="M24" i="1" s="1"/>
  <c r="L25" i="1"/>
  <c r="M25" i="1" s="1"/>
  <c r="L26" i="1"/>
  <c r="L27" i="1"/>
  <c r="M27" i="1" s="1"/>
  <c r="L28" i="1"/>
  <c r="M28" i="1" s="1"/>
  <c r="N28" i="1" s="1"/>
  <c r="L29" i="1"/>
  <c r="M29" i="1" s="1"/>
  <c r="L30" i="1"/>
  <c r="L31" i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L39" i="1"/>
  <c r="L40" i="1"/>
  <c r="M40" i="1" s="1"/>
  <c r="N40" i="1" s="1"/>
  <c r="L41" i="1"/>
  <c r="M41" i="1" s="1"/>
  <c r="N41" i="1" s="1"/>
  <c r="L42" i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L51" i="1"/>
  <c r="M51" i="1" s="1"/>
  <c r="L52" i="1"/>
  <c r="M52" i="1" s="1"/>
  <c r="L53" i="1"/>
  <c r="M53" i="1" s="1"/>
  <c r="L54" i="1"/>
  <c r="M54" i="1" s="1"/>
  <c r="L55" i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L63" i="1"/>
  <c r="L64" i="1"/>
  <c r="M64" i="1" s="1"/>
  <c r="N64" i="1" s="1"/>
  <c r="L65" i="1"/>
  <c r="M65" i="1" s="1"/>
  <c r="L66" i="1"/>
  <c r="M66" i="1" s="1"/>
  <c r="N66" i="1" s="1"/>
  <c r="L67" i="1"/>
  <c r="M67" i="1" s="1"/>
  <c r="L68" i="1"/>
  <c r="L69" i="1"/>
  <c r="M69" i="1" s="1"/>
  <c r="L70" i="1"/>
  <c r="M70" i="1" s="1"/>
  <c r="L71" i="1"/>
  <c r="M71" i="1" s="1"/>
  <c r="L72" i="1"/>
  <c r="M72" i="1" s="1"/>
  <c r="L73" i="1"/>
  <c r="M73" i="1" s="1"/>
  <c r="L74" i="1"/>
  <c r="L75" i="1"/>
  <c r="L76" i="1"/>
  <c r="M76" i="1" s="1"/>
  <c r="L77" i="1"/>
  <c r="M77" i="1" s="1"/>
  <c r="L78" i="1"/>
  <c r="L79" i="1"/>
  <c r="L80" i="1"/>
  <c r="L81" i="1"/>
  <c r="M81" i="1" s="1"/>
  <c r="L82" i="1"/>
  <c r="M82" i="1" s="1"/>
  <c r="L83" i="1"/>
  <c r="M83" i="1" s="1"/>
  <c r="L84" i="1"/>
  <c r="M84" i="1" s="1"/>
  <c r="L85" i="1"/>
  <c r="M85" i="1" s="1"/>
  <c r="L86" i="1"/>
  <c r="L87" i="1"/>
  <c r="M87" i="1" s="1"/>
  <c r="L88" i="1"/>
  <c r="M88" i="1" s="1"/>
  <c r="L89" i="1"/>
  <c r="M89" i="1" s="1"/>
  <c r="L90" i="1"/>
  <c r="M90" i="1" s="1"/>
  <c r="L91" i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L99" i="1"/>
  <c r="M99" i="1" s="1"/>
  <c r="L100" i="1"/>
  <c r="M100" i="1" s="1"/>
  <c r="N100" i="1" s="1"/>
  <c r="L101" i="1"/>
  <c r="M101" i="1" s="1"/>
  <c r="N101" i="1" s="1"/>
  <c r="L102" i="1"/>
  <c r="L103" i="1"/>
  <c r="M103" i="1" s="1"/>
  <c r="N103" i="1" s="1"/>
  <c r="L104" i="1"/>
  <c r="L105" i="1"/>
  <c r="M105" i="1" s="1"/>
  <c r="L106" i="1"/>
  <c r="M106" i="1" s="1"/>
  <c r="L107" i="1"/>
  <c r="L108" i="1"/>
  <c r="M108" i="1" s="1"/>
  <c r="N108" i="1" s="1"/>
  <c r="L109" i="1"/>
  <c r="M109" i="1" s="1"/>
  <c r="L110" i="1"/>
  <c r="L111" i="1"/>
  <c r="L112" i="1"/>
  <c r="L113" i="1"/>
  <c r="M113" i="1" s="1"/>
  <c r="L114" i="1"/>
  <c r="M114" i="1" s="1"/>
  <c r="L115" i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L123" i="1"/>
  <c r="L124" i="1"/>
  <c r="M124" i="1" s="1"/>
  <c r="L125" i="1"/>
  <c r="M125" i="1" s="1"/>
  <c r="L126" i="1"/>
  <c r="M126" i="1" s="1"/>
  <c r="L127" i="1"/>
  <c r="L128" i="1"/>
  <c r="L129" i="1"/>
  <c r="L130" i="1"/>
  <c r="M130" i="1" s="1"/>
  <c r="L131" i="1"/>
  <c r="L132" i="1"/>
  <c r="M132" i="1" s="1"/>
  <c r="L133" i="1"/>
  <c r="M133" i="1" s="1"/>
  <c r="L134" i="1"/>
  <c r="L135" i="1"/>
  <c r="L136" i="1"/>
  <c r="M136" i="1" s="1"/>
  <c r="L137" i="1"/>
  <c r="M137" i="1" s="1"/>
  <c r="L138" i="1"/>
  <c r="L139" i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L147" i="1"/>
  <c r="M147" i="1" s="1"/>
  <c r="L148" i="1"/>
  <c r="M148" i="1" s="1"/>
  <c r="N148" i="1" s="1"/>
  <c r="L149" i="1"/>
  <c r="M149" i="1" s="1"/>
  <c r="L150" i="1"/>
  <c r="M150" i="1" s="1"/>
  <c r="L151" i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L159" i="1"/>
  <c r="L160" i="1"/>
  <c r="M160" i="1" s="1"/>
  <c r="L161" i="1"/>
  <c r="M161" i="1" s="1"/>
  <c r="L162" i="1"/>
  <c r="L163" i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L171" i="1"/>
  <c r="M171" i="1" s="1"/>
  <c r="L172" i="1"/>
  <c r="M172" i="1" s="1"/>
  <c r="L173" i="1"/>
  <c r="M173" i="1" s="1"/>
  <c r="L174" i="1"/>
  <c r="L175" i="1"/>
  <c r="L176" i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L195" i="1"/>
  <c r="L196" i="1"/>
  <c r="M196" i="1" s="1"/>
  <c r="L197" i="1"/>
  <c r="M197" i="1" s="1"/>
  <c r="L198" i="1"/>
  <c r="L199" i="1"/>
  <c r="L200" i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L207" i="1"/>
  <c r="L208" i="1"/>
  <c r="M208" i="1" s="1"/>
  <c r="N208" i="1" s="1"/>
  <c r="L209" i="1"/>
  <c r="M209" i="1" s="1"/>
  <c r="N209" i="1" s="1"/>
  <c r="L210" i="1"/>
  <c r="M210" i="1" s="1"/>
  <c r="L211" i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L219" i="1"/>
  <c r="M219" i="1" s="1"/>
  <c r="L220" i="1"/>
  <c r="L221" i="1"/>
  <c r="M221" i="1" s="1"/>
  <c r="N221" i="1" s="1"/>
  <c r="L222" i="1"/>
  <c r="M222" i="1" s="1"/>
  <c r="L223" i="1"/>
  <c r="M223" i="1" s="1"/>
  <c r="L224" i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L231" i="1"/>
  <c r="L232" i="1"/>
  <c r="M232" i="1" s="1"/>
  <c r="N232" i="1" s="1"/>
  <c r="L233" i="1"/>
  <c r="M233" i="1" s="1"/>
  <c r="N233" i="1" s="1"/>
  <c r="L234" i="1"/>
  <c r="L235" i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L243" i="1"/>
  <c r="L244" i="1"/>
  <c r="M244" i="1" s="1"/>
  <c r="L245" i="1"/>
  <c r="M245" i="1" s="1"/>
  <c r="N245" i="1" s="1"/>
  <c r="L246" i="1"/>
  <c r="M246" i="1" s="1"/>
  <c r="L247" i="1"/>
  <c r="L248" i="1"/>
  <c r="L249" i="1"/>
  <c r="M249" i="1" s="1"/>
  <c r="L250" i="1"/>
  <c r="M250" i="1" s="1"/>
  <c r="L251" i="1"/>
  <c r="L252" i="1"/>
  <c r="M252" i="1" s="1"/>
  <c r="L253" i="1"/>
  <c r="M253" i="1" s="1"/>
  <c r="L254" i="1"/>
  <c r="L255" i="1"/>
  <c r="L256" i="1"/>
  <c r="M256" i="1" s="1"/>
  <c r="L257" i="1"/>
  <c r="M257" i="1" s="1"/>
  <c r="L258" i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L267" i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L291" i="1"/>
  <c r="L292" i="1"/>
  <c r="M292" i="1" s="1"/>
  <c r="N292" i="1" s="1"/>
  <c r="L293" i="1"/>
  <c r="M293" i="1" s="1"/>
  <c r="L294" i="1"/>
  <c r="M294" i="1" s="1"/>
  <c r="L295" i="1"/>
  <c r="L296" i="1"/>
  <c r="M296" i="1" s="1"/>
  <c r="L297" i="1"/>
  <c r="L298" i="1"/>
  <c r="M298" i="1" s="1"/>
  <c r="L299" i="1"/>
  <c r="M299" i="1" s="1"/>
  <c r="L300" i="1"/>
  <c r="M300" i="1" s="1"/>
  <c r="L301" i="1"/>
  <c r="M301" i="1" s="1"/>
  <c r="L302" i="1"/>
  <c r="L303" i="1"/>
  <c r="M303" i="1" s="1"/>
  <c r="L304" i="1"/>
  <c r="M304" i="1" s="1"/>
  <c r="L305" i="1"/>
  <c r="M305" i="1" s="1"/>
  <c r="L306" i="1"/>
  <c r="M306" i="1" s="1"/>
  <c r="L307" i="1"/>
  <c r="L308" i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L315" i="1"/>
  <c r="M315" i="1" s="1"/>
  <c r="L316" i="1"/>
  <c r="M316" i="1" s="1"/>
  <c r="L317" i="1"/>
  <c r="M317" i="1" s="1"/>
  <c r="L318" i="1"/>
  <c r="M318" i="1" s="1"/>
  <c r="L319" i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L327" i="1"/>
  <c r="L328" i="1"/>
  <c r="M328" i="1" s="1"/>
  <c r="L329" i="1"/>
  <c r="M329" i="1" s="1"/>
  <c r="N329" i="1" s="1"/>
  <c r="L330" i="1"/>
  <c r="M330" i="1" s="1"/>
  <c r="L331" i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L339" i="1"/>
  <c r="M339" i="1" s="1"/>
  <c r="L340" i="1"/>
  <c r="M340" i="1" s="1"/>
  <c r="L341" i="1"/>
  <c r="M341" i="1" s="1"/>
  <c r="L342" i="1"/>
  <c r="L343" i="1"/>
  <c r="M343" i="1" s="1"/>
  <c r="L344" i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L351" i="1"/>
  <c r="L352" i="1"/>
  <c r="M352" i="1" s="1"/>
  <c r="L353" i="1"/>
  <c r="M353" i="1" s="1"/>
  <c r="N353" i="1" s="1"/>
  <c r="L354" i="1"/>
  <c r="M354" i="1" s="1"/>
  <c r="L355" i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L363" i="1"/>
  <c r="L364" i="1"/>
  <c r="M364" i="1" s="1"/>
  <c r="L365" i="1"/>
  <c r="M365" i="1" s="1"/>
  <c r="L366" i="1"/>
  <c r="M366" i="1" s="1"/>
  <c r="L367" i="1"/>
  <c r="L368" i="1"/>
  <c r="M368" i="1" s="1"/>
  <c r="L369" i="1"/>
  <c r="L370" i="1"/>
  <c r="M370" i="1" s="1"/>
  <c r="L371" i="1"/>
  <c r="M371" i="1" s="1"/>
  <c r="L372" i="1"/>
  <c r="M372" i="1" s="1"/>
  <c r="L373" i="1"/>
  <c r="M373" i="1" s="1"/>
  <c r="L374" i="1"/>
  <c r="L375" i="1"/>
  <c r="M375" i="1" s="1"/>
  <c r="L376" i="1"/>
  <c r="M376" i="1" s="1"/>
  <c r="L377" i="1"/>
  <c r="M377" i="1" s="1"/>
  <c r="L378" i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L387" i="1"/>
  <c r="M387" i="1" s="1"/>
  <c r="L388" i="1"/>
  <c r="M388" i="1" s="1"/>
  <c r="N388" i="1" s="1"/>
  <c r="L389" i="1"/>
  <c r="M389" i="1" s="1"/>
  <c r="N389" i="1" s="1"/>
  <c r="L390" i="1"/>
  <c r="M390" i="1" s="1"/>
  <c r="L391" i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L399" i="1"/>
  <c r="L400" i="1"/>
  <c r="M400" i="1" s="1"/>
  <c r="L401" i="1"/>
  <c r="M401" i="1" s="1"/>
  <c r="L402" i="1"/>
  <c r="M402" i="1" s="1"/>
  <c r="L403" i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L411" i="1"/>
  <c r="M411" i="1" s="1"/>
  <c r="L412" i="1"/>
  <c r="M412" i="1" s="1"/>
  <c r="L413" i="1"/>
  <c r="M413" i="1" s="1"/>
  <c r="L414" i="1"/>
  <c r="M414" i="1" s="1"/>
  <c r="L415" i="1"/>
  <c r="L416" i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L423" i="1"/>
  <c r="M423" i="1" s="1"/>
  <c r="L424" i="1"/>
  <c r="M424" i="1" s="1"/>
  <c r="N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L435" i="1"/>
  <c r="L436" i="1"/>
  <c r="M436" i="1" s="1"/>
  <c r="N436" i="1" s="1"/>
  <c r="L437" i="1"/>
  <c r="M437" i="1" s="1"/>
  <c r="N437" i="1" s="1"/>
  <c r="L438" i="1"/>
  <c r="L439" i="1"/>
  <c r="L440" i="1"/>
  <c r="L441" i="1"/>
  <c r="M441" i="1" s="1"/>
  <c r="L442" i="1"/>
  <c r="M442" i="1" s="1"/>
  <c r="L443" i="1"/>
  <c r="L444" i="1"/>
  <c r="M444" i="1" s="1"/>
  <c r="L445" i="1"/>
  <c r="M445" i="1" s="1"/>
  <c r="L446" i="1"/>
  <c r="L447" i="1"/>
  <c r="M447" i="1" s="1"/>
  <c r="L448" i="1"/>
  <c r="M448" i="1" s="1"/>
  <c r="L449" i="1"/>
  <c r="M449" i="1" s="1"/>
  <c r="L450" i="1"/>
  <c r="M450" i="1" s="1"/>
  <c r="L451" i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L459" i="1"/>
  <c r="M459" i="1" s="1"/>
  <c r="L460" i="1"/>
  <c r="M460" i="1" s="1"/>
  <c r="N460" i="1" s="1"/>
  <c r="L461" i="1"/>
  <c r="M461" i="1" s="1"/>
  <c r="N461" i="1" s="1"/>
  <c r="L462" i="1"/>
  <c r="M462" i="1" s="1"/>
  <c r="L463" i="1"/>
  <c r="M463" i="1" s="1"/>
  <c r="L464" i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L471" i="1"/>
  <c r="M471" i="1" s="1"/>
  <c r="L472" i="1"/>
  <c r="M472" i="1" s="1"/>
  <c r="L473" i="1"/>
  <c r="M473" i="1" s="1"/>
  <c r="L474" i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L483" i="1"/>
  <c r="M483" i="1" s="1"/>
  <c r="L484" i="1"/>
  <c r="M484" i="1" s="1"/>
  <c r="L485" i="1"/>
  <c r="M485" i="1" s="1"/>
  <c r="N485" i="1" s="1"/>
  <c r="L486" i="1"/>
  <c r="M486" i="1" s="1"/>
  <c r="L487" i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L495" i="1"/>
  <c r="M495" i="1" s="1"/>
  <c r="L496" i="1"/>
  <c r="M496" i="1" s="1"/>
  <c r="N496" i="1" s="1"/>
  <c r="L497" i="1"/>
  <c r="M497" i="1" s="1"/>
  <c r="L498" i="1"/>
  <c r="M498" i="1" s="1"/>
  <c r="L499" i="1"/>
  <c r="L500" i="1"/>
  <c r="M500" i="1" s="1"/>
  <c r="L501" i="1"/>
  <c r="M501" i="1" s="1"/>
  <c r="M20" i="1"/>
  <c r="M31" i="1"/>
  <c r="M42" i="1"/>
  <c r="M78" i="1"/>
  <c r="M79" i="1"/>
  <c r="M80" i="1"/>
  <c r="M102" i="1"/>
  <c r="M107" i="1"/>
  <c r="M127" i="1"/>
  <c r="M128" i="1"/>
  <c r="M131" i="1"/>
  <c r="M139" i="1"/>
  <c r="M163" i="1"/>
  <c r="M175" i="1"/>
  <c r="M176" i="1"/>
  <c r="M200" i="1"/>
  <c r="M211" i="1"/>
  <c r="M224" i="1"/>
  <c r="M247" i="1"/>
  <c r="M248" i="1"/>
  <c r="M251" i="1"/>
  <c r="M297" i="1"/>
  <c r="M319" i="1"/>
  <c r="M331" i="1"/>
  <c r="M344" i="1"/>
  <c r="M355" i="1"/>
  <c r="M367" i="1"/>
  <c r="M369" i="1"/>
  <c r="M415" i="1"/>
  <c r="M438" i="1"/>
  <c r="M443" i="1"/>
  <c r="M464" i="1"/>
  <c r="M3" i="1"/>
  <c r="M8" i="1"/>
  <c r="M30" i="1"/>
  <c r="M111" i="1"/>
  <c r="M112" i="1"/>
  <c r="M138" i="1"/>
  <c r="M174" i="1"/>
  <c r="M207" i="1"/>
  <c r="M258" i="1"/>
  <c r="M327" i="1"/>
  <c r="M363" i="1"/>
  <c r="M378" i="1"/>
  <c r="M458" i="1"/>
  <c r="M474" i="1"/>
  <c r="M14" i="1"/>
  <c r="N14" i="1" s="1"/>
  <c r="M26" i="1"/>
  <c r="M38" i="1"/>
  <c r="M62" i="1"/>
  <c r="M68" i="1"/>
  <c r="M74" i="1"/>
  <c r="M86" i="1"/>
  <c r="M98" i="1"/>
  <c r="M110" i="1"/>
  <c r="M122" i="1"/>
  <c r="M134" i="1"/>
  <c r="M146" i="1"/>
  <c r="M158" i="1"/>
  <c r="M170" i="1"/>
  <c r="M182" i="1"/>
  <c r="M188" i="1"/>
  <c r="M194" i="1"/>
  <c r="M206" i="1"/>
  <c r="M218" i="1"/>
  <c r="M230" i="1"/>
  <c r="M242" i="1"/>
  <c r="M254" i="1"/>
  <c r="M266" i="1"/>
  <c r="M278" i="1"/>
  <c r="M290" i="1"/>
  <c r="M302" i="1"/>
  <c r="M308" i="1"/>
  <c r="M314" i="1"/>
  <c r="M326" i="1"/>
  <c r="M338" i="1"/>
  <c r="M350" i="1"/>
  <c r="M362" i="1"/>
  <c r="M374" i="1"/>
  <c r="M398" i="1"/>
  <c r="M410" i="1"/>
  <c r="M416" i="1"/>
  <c r="M422" i="1"/>
  <c r="M434" i="1"/>
  <c r="M446" i="1"/>
  <c r="M470" i="1"/>
  <c r="M482" i="1"/>
  <c r="M494" i="1"/>
  <c r="M129" i="1"/>
  <c r="M220" i="1"/>
  <c r="H2" i="1"/>
  <c r="M7" i="1"/>
  <c r="M15" i="1"/>
  <c r="M18" i="1"/>
  <c r="M19" i="1"/>
  <c r="N19" i="1" s="1"/>
  <c r="M39" i="1"/>
  <c r="M50" i="1"/>
  <c r="M55" i="1"/>
  <c r="N55" i="1" s="1"/>
  <c r="M63" i="1"/>
  <c r="M75" i="1"/>
  <c r="M91" i="1"/>
  <c r="M104" i="1"/>
  <c r="M115" i="1"/>
  <c r="M123" i="1"/>
  <c r="M135" i="1"/>
  <c r="M151" i="1"/>
  <c r="M159" i="1"/>
  <c r="M162" i="1"/>
  <c r="M195" i="1"/>
  <c r="M198" i="1"/>
  <c r="M199" i="1"/>
  <c r="M231" i="1"/>
  <c r="M234" i="1"/>
  <c r="M235" i="1"/>
  <c r="M243" i="1"/>
  <c r="M255" i="1"/>
  <c r="M267" i="1"/>
  <c r="M291" i="1"/>
  <c r="M295" i="1"/>
  <c r="M307" i="1"/>
  <c r="M342" i="1"/>
  <c r="M351" i="1"/>
  <c r="M386" i="1"/>
  <c r="M391" i="1"/>
  <c r="N391" i="1" s="1"/>
  <c r="M399" i="1"/>
  <c r="M403" i="1"/>
  <c r="M435" i="1"/>
  <c r="M439" i="1"/>
  <c r="M440" i="1"/>
  <c r="M451" i="1"/>
  <c r="M487" i="1"/>
  <c r="M499" i="1"/>
  <c r="J41" i="1"/>
  <c r="K41" i="1" s="1"/>
  <c r="J42" i="1"/>
  <c r="K42" i="1" s="1"/>
  <c r="J131" i="1"/>
  <c r="K131" i="1" s="1"/>
  <c r="J167" i="1"/>
  <c r="K167" i="1" s="1"/>
  <c r="J174" i="1"/>
  <c r="K174" i="1" s="1"/>
  <c r="J347" i="1"/>
  <c r="K347" i="1" s="1"/>
  <c r="J367" i="1"/>
  <c r="K367" i="1" s="1"/>
  <c r="J422" i="1"/>
  <c r="K422" i="1" s="1"/>
  <c r="J460" i="1"/>
  <c r="K460" i="1" s="1"/>
  <c r="H3" i="1"/>
  <c r="J3" i="1" s="1"/>
  <c r="H4" i="1"/>
  <c r="J4" i="1" s="1"/>
  <c r="H5" i="1"/>
  <c r="J5" i="1" s="1"/>
  <c r="K5" i="1" s="1"/>
  <c r="H6" i="1"/>
  <c r="J6" i="1" s="1"/>
  <c r="K6" i="1" s="1"/>
  <c r="H7" i="1"/>
  <c r="J7" i="1" s="1"/>
  <c r="H8" i="1"/>
  <c r="J8" i="1" s="1"/>
  <c r="K8" i="1" s="1"/>
  <c r="H9" i="1"/>
  <c r="J9" i="1" s="1"/>
  <c r="K9" i="1" s="1"/>
  <c r="H10" i="1"/>
  <c r="J10" i="1" s="1"/>
  <c r="H11" i="1"/>
  <c r="J11" i="1" s="1"/>
  <c r="H12" i="1"/>
  <c r="J12" i="1" s="1"/>
  <c r="K12" i="1" s="1"/>
  <c r="H13" i="1"/>
  <c r="J13" i="1" s="1"/>
  <c r="H14" i="1"/>
  <c r="J14" i="1" s="1"/>
  <c r="K14" i="1" s="1"/>
  <c r="H15" i="1"/>
  <c r="J15" i="1" s="1"/>
  <c r="H16" i="1"/>
  <c r="J16" i="1" s="1"/>
  <c r="H17" i="1"/>
  <c r="J17" i="1" s="1"/>
  <c r="K17" i="1" s="1"/>
  <c r="H18" i="1"/>
  <c r="J18" i="1" s="1"/>
  <c r="K18" i="1" s="1"/>
  <c r="H19" i="1"/>
  <c r="J19" i="1" s="1"/>
  <c r="H20" i="1"/>
  <c r="J20" i="1" s="1"/>
  <c r="K20" i="1" s="1"/>
  <c r="H21" i="1"/>
  <c r="J21" i="1" s="1"/>
  <c r="K21" i="1" s="1"/>
  <c r="H22" i="1"/>
  <c r="J22" i="1" s="1"/>
  <c r="K22" i="1" s="1"/>
  <c r="H23" i="1"/>
  <c r="J23" i="1" s="1"/>
  <c r="K23" i="1" s="1"/>
  <c r="H24" i="1"/>
  <c r="J24" i="1" s="1"/>
  <c r="K24" i="1" s="1"/>
  <c r="H25" i="1"/>
  <c r="J25" i="1" s="1"/>
  <c r="K25" i="1" s="1"/>
  <c r="H26" i="1"/>
  <c r="J26" i="1" s="1"/>
  <c r="K26" i="1" s="1"/>
  <c r="H27" i="1"/>
  <c r="J27" i="1" s="1"/>
  <c r="H28" i="1"/>
  <c r="J28" i="1" s="1"/>
  <c r="H29" i="1"/>
  <c r="J29" i="1" s="1"/>
  <c r="K29" i="1" s="1"/>
  <c r="H30" i="1"/>
  <c r="J30" i="1" s="1"/>
  <c r="K30" i="1" s="1"/>
  <c r="H31" i="1"/>
  <c r="J31" i="1" s="1"/>
  <c r="K31" i="1" s="1"/>
  <c r="H32" i="1"/>
  <c r="J32" i="1" s="1"/>
  <c r="K32" i="1" s="1"/>
  <c r="H33" i="1"/>
  <c r="J33" i="1" s="1"/>
  <c r="K33" i="1" s="1"/>
  <c r="H34" i="1"/>
  <c r="J34" i="1" s="1"/>
  <c r="K34" i="1" s="1"/>
  <c r="H35" i="1"/>
  <c r="J35" i="1" s="1"/>
  <c r="H36" i="1"/>
  <c r="J36" i="1" s="1"/>
  <c r="K36" i="1" s="1"/>
  <c r="H37" i="1"/>
  <c r="J37" i="1" s="1"/>
  <c r="K37" i="1" s="1"/>
  <c r="H38" i="1"/>
  <c r="J38" i="1" s="1"/>
  <c r="K38" i="1" s="1"/>
  <c r="H39" i="1"/>
  <c r="J39" i="1" s="1"/>
  <c r="K39" i="1" s="1"/>
  <c r="H40" i="1"/>
  <c r="J40" i="1" s="1"/>
  <c r="H41" i="1"/>
  <c r="H42" i="1"/>
  <c r="H43" i="1"/>
  <c r="J43" i="1" s="1"/>
  <c r="K43" i="1" s="1"/>
  <c r="H44" i="1"/>
  <c r="J44" i="1" s="1"/>
  <c r="K44" i="1" s="1"/>
  <c r="H45" i="1"/>
  <c r="J45" i="1" s="1"/>
  <c r="K45" i="1" s="1"/>
  <c r="H46" i="1"/>
  <c r="J46" i="1" s="1"/>
  <c r="K46" i="1" s="1"/>
  <c r="H47" i="1"/>
  <c r="J47" i="1" s="1"/>
  <c r="K47" i="1" s="1"/>
  <c r="H48" i="1"/>
  <c r="J48" i="1" s="1"/>
  <c r="K48" i="1" s="1"/>
  <c r="H49" i="1"/>
  <c r="J49" i="1" s="1"/>
  <c r="K49" i="1" s="1"/>
  <c r="H50" i="1"/>
  <c r="J50" i="1" s="1"/>
  <c r="K50" i="1" s="1"/>
  <c r="H51" i="1"/>
  <c r="J51" i="1" s="1"/>
  <c r="K51" i="1" s="1"/>
  <c r="H52" i="1"/>
  <c r="J52" i="1" s="1"/>
  <c r="H53" i="1"/>
  <c r="J53" i="1" s="1"/>
  <c r="K53" i="1" s="1"/>
  <c r="H54" i="1"/>
  <c r="J54" i="1" s="1"/>
  <c r="K54" i="1" s="1"/>
  <c r="H55" i="1"/>
  <c r="J55" i="1" s="1"/>
  <c r="H56" i="1"/>
  <c r="J56" i="1" s="1"/>
  <c r="K56" i="1" s="1"/>
  <c r="H57" i="1"/>
  <c r="J57" i="1" s="1"/>
  <c r="K57" i="1" s="1"/>
  <c r="H58" i="1"/>
  <c r="J58" i="1" s="1"/>
  <c r="K58" i="1" s="1"/>
  <c r="H59" i="1"/>
  <c r="J59" i="1" s="1"/>
  <c r="K59" i="1" s="1"/>
  <c r="H60" i="1"/>
  <c r="J60" i="1" s="1"/>
  <c r="K60" i="1" s="1"/>
  <c r="H61" i="1"/>
  <c r="J61" i="1" s="1"/>
  <c r="K61" i="1" s="1"/>
  <c r="H62" i="1"/>
  <c r="J62" i="1" s="1"/>
  <c r="K62" i="1" s="1"/>
  <c r="H63" i="1"/>
  <c r="J63" i="1" s="1"/>
  <c r="H64" i="1"/>
  <c r="J64" i="1" s="1"/>
  <c r="K64" i="1" s="1"/>
  <c r="H65" i="1"/>
  <c r="J65" i="1" s="1"/>
  <c r="K65" i="1" s="1"/>
  <c r="H66" i="1"/>
  <c r="J66" i="1" s="1"/>
  <c r="K66" i="1" s="1"/>
  <c r="H67" i="1"/>
  <c r="J67" i="1" s="1"/>
  <c r="H68" i="1"/>
  <c r="J68" i="1" s="1"/>
  <c r="K68" i="1" s="1"/>
  <c r="H69" i="1"/>
  <c r="J69" i="1" s="1"/>
  <c r="K69" i="1" s="1"/>
  <c r="H70" i="1"/>
  <c r="J70" i="1" s="1"/>
  <c r="K70" i="1" s="1"/>
  <c r="H71" i="1"/>
  <c r="J71" i="1" s="1"/>
  <c r="K71" i="1" s="1"/>
  <c r="H72" i="1"/>
  <c r="J72" i="1" s="1"/>
  <c r="K72" i="1" s="1"/>
  <c r="H73" i="1"/>
  <c r="J73" i="1" s="1"/>
  <c r="K73" i="1" s="1"/>
  <c r="H74" i="1"/>
  <c r="J74" i="1" s="1"/>
  <c r="K74" i="1" s="1"/>
  <c r="H75" i="1"/>
  <c r="J75" i="1" s="1"/>
  <c r="K75" i="1" s="1"/>
  <c r="H76" i="1"/>
  <c r="J76" i="1" s="1"/>
  <c r="H77" i="1"/>
  <c r="J77" i="1" s="1"/>
  <c r="K77" i="1" s="1"/>
  <c r="H78" i="1"/>
  <c r="J78" i="1" s="1"/>
  <c r="K78" i="1" s="1"/>
  <c r="H79" i="1"/>
  <c r="J79" i="1" s="1"/>
  <c r="H80" i="1"/>
  <c r="J80" i="1" s="1"/>
  <c r="K80" i="1" s="1"/>
  <c r="H81" i="1"/>
  <c r="J81" i="1" s="1"/>
  <c r="K81" i="1" s="1"/>
  <c r="H82" i="1"/>
  <c r="J82" i="1" s="1"/>
  <c r="K82" i="1" s="1"/>
  <c r="H83" i="1"/>
  <c r="J83" i="1" s="1"/>
  <c r="K83" i="1" s="1"/>
  <c r="H84" i="1"/>
  <c r="J84" i="1" s="1"/>
  <c r="K84" i="1" s="1"/>
  <c r="H85" i="1"/>
  <c r="J85" i="1" s="1"/>
  <c r="K85" i="1" s="1"/>
  <c r="H86" i="1"/>
  <c r="J86" i="1" s="1"/>
  <c r="K86" i="1" s="1"/>
  <c r="H87" i="1"/>
  <c r="J87" i="1" s="1"/>
  <c r="K87" i="1" s="1"/>
  <c r="H88" i="1"/>
  <c r="J88" i="1" s="1"/>
  <c r="H89" i="1"/>
  <c r="J89" i="1" s="1"/>
  <c r="K89" i="1" s="1"/>
  <c r="H90" i="1"/>
  <c r="J90" i="1" s="1"/>
  <c r="K90" i="1" s="1"/>
  <c r="H91" i="1"/>
  <c r="J91" i="1" s="1"/>
  <c r="K91" i="1" s="1"/>
  <c r="H92" i="1"/>
  <c r="J92" i="1" s="1"/>
  <c r="K92" i="1" s="1"/>
  <c r="H93" i="1"/>
  <c r="J93" i="1" s="1"/>
  <c r="K93" i="1" s="1"/>
  <c r="H94" i="1"/>
  <c r="J94" i="1" s="1"/>
  <c r="K94" i="1" s="1"/>
  <c r="H95" i="1"/>
  <c r="J95" i="1" s="1"/>
  <c r="K95" i="1" s="1"/>
  <c r="H96" i="1"/>
  <c r="J96" i="1" s="1"/>
  <c r="K96" i="1" s="1"/>
  <c r="H97" i="1"/>
  <c r="J97" i="1" s="1"/>
  <c r="K97" i="1" s="1"/>
  <c r="H98" i="1"/>
  <c r="J98" i="1" s="1"/>
  <c r="K98" i="1" s="1"/>
  <c r="H99" i="1"/>
  <c r="J99" i="1" s="1"/>
  <c r="K99" i="1" s="1"/>
  <c r="H100" i="1"/>
  <c r="J100" i="1" s="1"/>
  <c r="H101" i="1"/>
  <c r="J101" i="1" s="1"/>
  <c r="K101" i="1" s="1"/>
  <c r="H102" i="1"/>
  <c r="J102" i="1" s="1"/>
  <c r="K102" i="1" s="1"/>
  <c r="H103" i="1"/>
  <c r="J103" i="1" s="1"/>
  <c r="K103" i="1" s="1"/>
  <c r="H104" i="1"/>
  <c r="J104" i="1" s="1"/>
  <c r="K104" i="1" s="1"/>
  <c r="H105" i="1"/>
  <c r="J105" i="1" s="1"/>
  <c r="K105" i="1" s="1"/>
  <c r="H106" i="1"/>
  <c r="J106" i="1" s="1"/>
  <c r="K106" i="1" s="1"/>
  <c r="H107" i="1"/>
  <c r="J107" i="1" s="1"/>
  <c r="K107" i="1" s="1"/>
  <c r="H108" i="1"/>
  <c r="J108" i="1" s="1"/>
  <c r="K108" i="1" s="1"/>
  <c r="H109" i="1"/>
  <c r="J109" i="1" s="1"/>
  <c r="K109" i="1" s="1"/>
  <c r="H110" i="1"/>
  <c r="J110" i="1" s="1"/>
  <c r="K110" i="1" s="1"/>
  <c r="H111" i="1"/>
  <c r="J111" i="1" s="1"/>
  <c r="H112" i="1"/>
  <c r="J112" i="1" s="1"/>
  <c r="H113" i="1"/>
  <c r="J113" i="1" s="1"/>
  <c r="K113" i="1" s="1"/>
  <c r="H114" i="1"/>
  <c r="J114" i="1" s="1"/>
  <c r="K114" i="1" s="1"/>
  <c r="H115" i="1"/>
  <c r="J115" i="1" s="1"/>
  <c r="H116" i="1"/>
  <c r="J116" i="1" s="1"/>
  <c r="K116" i="1" s="1"/>
  <c r="H117" i="1"/>
  <c r="J117" i="1" s="1"/>
  <c r="K117" i="1" s="1"/>
  <c r="H118" i="1"/>
  <c r="J118" i="1" s="1"/>
  <c r="K118" i="1" s="1"/>
  <c r="H119" i="1"/>
  <c r="J119" i="1" s="1"/>
  <c r="K119" i="1" s="1"/>
  <c r="H120" i="1"/>
  <c r="J120" i="1" s="1"/>
  <c r="K120" i="1" s="1"/>
  <c r="H121" i="1"/>
  <c r="J121" i="1" s="1"/>
  <c r="K121" i="1" s="1"/>
  <c r="H122" i="1"/>
  <c r="J122" i="1" s="1"/>
  <c r="K122" i="1" s="1"/>
  <c r="H123" i="1"/>
  <c r="J123" i="1" s="1"/>
  <c r="K123" i="1" s="1"/>
  <c r="H124" i="1"/>
  <c r="J124" i="1" s="1"/>
  <c r="K124" i="1" s="1"/>
  <c r="H125" i="1"/>
  <c r="J125" i="1" s="1"/>
  <c r="K125" i="1" s="1"/>
  <c r="H126" i="1"/>
  <c r="J126" i="1" s="1"/>
  <c r="K126" i="1" s="1"/>
  <c r="H127" i="1"/>
  <c r="J127" i="1" s="1"/>
  <c r="K127" i="1" s="1"/>
  <c r="H128" i="1"/>
  <c r="J128" i="1" s="1"/>
  <c r="K128" i="1" s="1"/>
  <c r="H129" i="1"/>
  <c r="J129" i="1" s="1"/>
  <c r="K129" i="1" s="1"/>
  <c r="H130" i="1"/>
  <c r="J130" i="1" s="1"/>
  <c r="K130" i="1" s="1"/>
  <c r="H131" i="1"/>
  <c r="H132" i="1"/>
  <c r="J132" i="1" s="1"/>
  <c r="K132" i="1" s="1"/>
  <c r="H133" i="1"/>
  <c r="J133" i="1" s="1"/>
  <c r="K133" i="1" s="1"/>
  <c r="H134" i="1"/>
  <c r="J134" i="1" s="1"/>
  <c r="K134" i="1" s="1"/>
  <c r="H135" i="1"/>
  <c r="J135" i="1" s="1"/>
  <c r="K135" i="1" s="1"/>
  <c r="H136" i="1"/>
  <c r="J136" i="1" s="1"/>
  <c r="H137" i="1"/>
  <c r="J137" i="1" s="1"/>
  <c r="K137" i="1" s="1"/>
  <c r="H138" i="1"/>
  <c r="J138" i="1" s="1"/>
  <c r="K138" i="1" s="1"/>
  <c r="H139" i="1"/>
  <c r="J139" i="1" s="1"/>
  <c r="H140" i="1"/>
  <c r="J140" i="1" s="1"/>
  <c r="K140" i="1" s="1"/>
  <c r="H141" i="1"/>
  <c r="J141" i="1" s="1"/>
  <c r="K141" i="1" s="1"/>
  <c r="H142" i="1"/>
  <c r="J142" i="1" s="1"/>
  <c r="K142" i="1" s="1"/>
  <c r="H143" i="1"/>
  <c r="J143" i="1" s="1"/>
  <c r="K143" i="1" s="1"/>
  <c r="H144" i="1"/>
  <c r="J144" i="1" s="1"/>
  <c r="K144" i="1" s="1"/>
  <c r="H145" i="1"/>
  <c r="J145" i="1" s="1"/>
  <c r="K145" i="1" s="1"/>
  <c r="H146" i="1"/>
  <c r="J146" i="1" s="1"/>
  <c r="K146" i="1" s="1"/>
  <c r="H147" i="1"/>
  <c r="J147" i="1" s="1"/>
  <c r="H148" i="1"/>
  <c r="J148" i="1" s="1"/>
  <c r="K148" i="1" s="1"/>
  <c r="H149" i="1"/>
  <c r="J149" i="1" s="1"/>
  <c r="K149" i="1" s="1"/>
  <c r="H150" i="1"/>
  <c r="J150" i="1" s="1"/>
  <c r="K150" i="1" s="1"/>
  <c r="H151" i="1"/>
  <c r="J151" i="1" s="1"/>
  <c r="H152" i="1"/>
  <c r="J152" i="1" s="1"/>
  <c r="K152" i="1" s="1"/>
  <c r="H153" i="1"/>
  <c r="J153" i="1" s="1"/>
  <c r="K153" i="1" s="1"/>
  <c r="H154" i="1"/>
  <c r="J154" i="1" s="1"/>
  <c r="K154" i="1" s="1"/>
  <c r="H155" i="1"/>
  <c r="J155" i="1" s="1"/>
  <c r="K155" i="1" s="1"/>
  <c r="H156" i="1"/>
  <c r="J156" i="1" s="1"/>
  <c r="K156" i="1" s="1"/>
  <c r="H157" i="1"/>
  <c r="J157" i="1" s="1"/>
  <c r="K157" i="1" s="1"/>
  <c r="H158" i="1"/>
  <c r="J158" i="1" s="1"/>
  <c r="K158" i="1" s="1"/>
  <c r="H159" i="1"/>
  <c r="J159" i="1" s="1"/>
  <c r="H160" i="1"/>
  <c r="J160" i="1" s="1"/>
  <c r="H161" i="1"/>
  <c r="J161" i="1" s="1"/>
  <c r="K161" i="1" s="1"/>
  <c r="H162" i="1"/>
  <c r="J162" i="1" s="1"/>
  <c r="K162" i="1" s="1"/>
  <c r="H163" i="1"/>
  <c r="J163" i="1" s="1"/>
  <c r="H164" i="1"/>
  <c r="J164" i="1" s="1"/>
  <c r="K164" i="1" s="1"/>
  <c r="H165" i="1"/>
  <c r="J165" i="1" s="1"/>
  <c r="K165" i="1" s="1"/>
  <c r="H166" i="1"/>
  <c r="J166" i="1" s="1"/>
  <c r="K166" i="1" s="1"/>
  <c r="H167" i="1"/>
  <c r="H168" i="1"/>
  <c r="J168" i="1" s="1"/>
  <c r="K168" i="1" s="1"/>
  <c r="H169" i="1"/>
  <c r="J169" i="1" s="1"/>
  <c r="K169" i="1" s="1"/>
  <c r="H170" i="1"/>
  <c r="J170" i="1" s="1"/>
  <c r="K170" i="1" s="1"/>
  <c r="H171" i="1"/>
  <c r="J171" i="1" s="1"/>
  <c r="H172" i="1"/>
  <c r="J172" i="1" s="1"/>
  <c r="H173" i="1"/>
  <c r="J173" i="1" s="1"/>
  <c r="K173" i="1" s="1"/>
  <c r="H174" i="1"/>
  <c r="H175" i="1"/>
  <c r="J175" i="1" s="1"/>
  <c r="K175" i="1" s="1"/>
  <c r="H176" i="1"/>
  <c r="J176" i="1" s="1"/>
  <c r="K176" i="1" s="1"/>
  <c r="H177" i="1"/>
  <c r="J177" i="1" s="1"/>
  <c r="K177" i="1" s="1"/>
  <c r="H178" i="1"/>
  <c r="J178" i="1" s="1"/>
  <c r="K178" i="1" s="1"/>
  <c r="H179" i="1"/>
  <c r="J179" i="1" s="1"/>
  <c r="K179" i="1" s="1"/>
  <c r="H180" i="1"/>
  <c r="J180" i="1" s="1"/>
  <c r="K180" i="1" s="1"/>
  <c r="H181" i="1"/>
  <c r="J181" i="1" s="1"/>
  <c r="K181" i="1" s="1"/>
  <c r="H182" i="1"/>
  <c r="J182" i="1" s="1"/>
  <c r="K182" i="1" s="1"/>
  <c r="H183" i="1"/>
  <c r="J183" i="1" s="1"/>
  <c r="K183" i="1" s="1"/>
  <c r="H184" i="1"/>
  <c r="J184" i="1" s="1"/>
  <c r="K184" i="1" s="1"/>
  <c r="H185" i="1"/>
  <c r="J185" i="1" s="1"/>
  <c r="K185" i="1" s="1"/>
  <c r="H186" i="1"/>
  <c r="J186" i="1" s="1"/>
  <c r="K186" i="1" s="1"/>
  <c r="H187" i="1"/>
  <c r="J187" i="1" s="1"/>
  <c r="K187" i="1" s="1"/>
  <c r="H188" i="1"/>
  <c r="J188" i="1" s="1"/>
  <c r="K188" i="1" s="1"/>
  <c r="H189" i="1"/>
  <c r="J189" i="1" s="1"/>
  <c r="K189" i="1" s="1"/>
  <c r="H190" i="1"/>
  <c r="J190" i="1" s="1"/>
  <c r="K190" i="1" s="1"/>
  <c r="H191" i="1"/>
  <c r="J191" i="1" s="1"/>
  <c r="K191" i="1" s="1"/>
  <c r="H192" i="1"/>
  <c r="J192" i="1" s="1"/>
  <c r="K192" i="1" s="1"/>
  <c r="H193" i="1"/>
  <c r="J193" i="1" s="1"/>
  <c r="K193" i="1" s="1"/>
  <c r="H194" i="1"/>
  <c r="J194" i="1" s="1"/>
  <c r="K194" i="1" s="1"/>
  <c r="H195" i="1"/>
  <c r="J195" i="1" s="1"/>
  <c r="K195" i="1" s="1"/>
  <c r="H196" i="1"/>
  <c r="J196" i="1" s="1"/>
  <c r="H197" i="1"/>
  <c r="J197" i="1" s="1"/>
  <c r="K197" i="1" s="1"/>
  <c r="H198" i="1"/>
  <c r="J198" i="1" s="1"/>
  <c r="K198" i="1" s="1"/>
  <c r="H199" i="1"/>
  <c r="J199" i="1" s="1"/>
  <c r="H200" i="1"/>
  <c r="J200" i="1" s="1"/>
  <c r="K200" i="1" s="1"/>
  <c r="H201" i="1"/>
  <c r="J201" i="1" s="1"/>
  <c r="K201" i="1" s="1"/>
  <c r="H202" i="1"/>
  <c r="J202" i="1" s="1"/>
  <c r="K202" i="1" s="1"/>
  <c r="H203" i="1"/>
  <c r="J203" i="1" s="1"/>
  <c r="K203" i="1" s="1"/>
  <c r="H204" i="1"/>
  <c r="J204" i="1" s="1"/>
  <c r="K204" i="1" s="1"/>
  <c r="H205" i="1"/>
  <c r="J205" i="1" s="1"/>
  <c r="K205" i="1" s="1"/>
  <c r="H206" i="1"/>
  <c r="J206" i="1" s="1"/>
  <c r="K206" i="1" s="1"/>
  <c r="H207" i="1"/>
  <c r="J207" i="1" s="1"/>
  <c r="H208" i="1"/>
  <c r="J208" i="1" s="1"/>
  <c r="K208" i="1" s="1"/>
  <c r="H209" i="1"/>
  <c r="J209" i="1" s="1"/>
  <c r="K209" i="1" s="1"/>
  <c r="H210" i="1"/>
  <c r="J210" i="1" s="1"/>
  <c r="K210" i="1" s="1"/>
  <c r="H211" i="1"/>
  <c r="J211" i="1" s="1"/>
  <c r="H212" i="1"/>
  <c r="J212" i="1" s="1"/>
  <c r="K212" i="1" s="1"/>
  <c r="H213" i="1"/>
  <c r="J213" i="1" s="1"/>
  <c r="K213" i="1" s="1"/>
  <c r="H214" i="1"/>
  <c r="J214" i="1" s="1"/>
  <c r="K214" i="1" s="1"/>
  <c r="H215" i="1"/>
  <c r="J215" i="1" s="1"/>
  <c r="K215" i="1" s="1"/>
  <c r="H216" i="1"/>
  <c r="J216" i="1" s="1"/>
  <c r="K216" i="1" s="1"/>
  <c r="H217" i="1"/>
  <c r="J217" i="1" s="1"/>
  <c r="K217" i="1" s="1"/>
  <c r="H218" i="1"/>
  <c r="J218" i="1" s="1"/>
  <c r="K218" i="1" s="1"/>
  <c r="H219" i="1"/>
  <c r="J219" i="1" s="1"/>
  <c r="K219" i="1" s="1"/>
  <c r="H220" i="1"/>
  <c r="J220" i="1" s="1"/>
  <c r="H221" i="1"/>
  <c r="J221" i="1" s="1"/>
  <c r="K221" i="1" s="1"/>
  <c r="H222" i="1"/>
  <c r="J222" i="1" s="1"/>
  <c r="K222" i="1" s="1"/>
  <c r="H223" i="1"/>
  <c r="J223" i="1" s="1"/>
  <c r="H224" i="1"/>
  <c r="J224" i="1" s="1"/>
  <c r="K224" i="1" s="1"/>
  <c r="H225" i="1"/>
  <c r="J225" i="1" s="1"/>
  <c r="K225" i="1" s="1"/>
  <c r="H226" i="1"/>
  <c r="J226" i="1" s="1"/>
  <c r="K226" i="1" s="1"/>
  <c r="H227" i="1"/>
  <c r="J227" i="1" s="1"/>
  <c r="K227" i="1" s="1"/>
  <c r="H228" i="1"/>
  <c r="J228" i="1" s="1"/>
  <c r="K228" i="1" s="1"/>
  <c r="H229" i="1"/>
  <c r="J229" i="1" s="1"/>
  <c r="K229" i="1" s="1"/>
  <c r="H230" i="1"/>
  <c r="J230" i="1" s="1"/>
  <c r="K230" i="1" s="1"/>
  <c r="H231" i="1"/>
  <c r="J231" i="1" s="1"/>
  <c r="K231" i="1" s="1"/>
  <c r="H232" i="1"/>
  <c r="J232" i="1" s="1"/>
  <c r="H233" i="1"/>
  <c r="J233" i="1" s="1"/>
  <c r="K233" i="1" s="1"/>
  <c r="H234" i="1"/>
  <c r="J234" i="1" s="1"/>
  <c r="K234" i="1" s="1"/>
  <c r="H235" i="1"/>
  <c r="J235" i="1" s="1"/>
  <c r="K235" i="1" s="1"/>
  <c r="H236" i="1"/>
  <c r="J236" i="1" s="1"/>
  <c r="K236" i="1" s="1"/>
  <c r="H237" i="1"/>
  <c r="J237" i="1" s="1"/>
  <c r="K237" i="1" s="1"/>
  <c r="H238" i="1"/>
  <c r="J238" i="1" s="1"/>
  <c r="K238" i="1" s="1"/>
  <c r="H239" i="1"/>
  <c r="J239" i="1" s="1"/>
  <c r="K239" i="1" s="1"/>
  <c r="H240" i="1"/>
  <c r="J240" i="1" s="1"/>
  <c r="K240" i="1" s="1"/>
  <c r="H241" i="1"/>
  <c r="J241" i="1" s="1"/>
  <c r="K241" i="1" s="1"/>
  <c r="H242" i="1"/>
  <c r="J242" i="1" s="1"/>
  <c r="K242" i="1" s="1"/>
  <c r="H243" i="1"/>
  <c r="J243" i="1" s="1"/>
  <c r="K243" i="1" s="1"/>
  <c r="H244" i="1"/>
  <c r="J244" i="1" s="1"/>
  <c r="K244" i="1" s="1"/>
  <c r="H245" i="1"/>
  <c r="J245" i="1" s="1"/>
  <c r="K245" i="1" s="1"/>
  <c r="H246" i="1"/>
  <c r="J246" i="1" s="1"/>
  <c r="K246" i="1" s="1"/>
  <c r="H247" i="1"/>
  <c r="J247" i="1" s="1"/>
  <c r="K247" i="1" s="1"/>
  <c r="H248" i="1"/>
  <c r="J248" i="1" s="1"/>
  <c r="K248" i="1" s="1"/>
  <c r="H249" i="1"/>
  <c r="J249" i="1" s="1"/>
  <c r="K249" i="1" s="1"/>
  <c r="H250" i="1"/>
  <c r="J250" i="1" s="1"/>
  <c r="K250" i="1" s="1"/>
  <c r="H251" i="1"/>
  <c r="J251" i="1" s="1"/>
  <c r="K251" i="1" s="1"/>
  <c r="H252" i="1"/>
  <c r="J252" i="1" s="1"/>
  <c r="K252" i="1" s="1"/>
  <c r="H253" i="1"/>
  <c r="J253" i="1" s="1"/>
  <c r="K253" i="1" s="1"/>
  <c r="H254" i="1"/>
  <c r="J254" i="1" s="1"/>
  <c r="K254" i="1" s="1"/>
  <c r="H255" i="1"/>
  <c r="J255" i="1" s="1"/>
  <c r="H256" i="1"/>
  <c r="J256" i="1" s="1"/>
  <c r="H257" i="1"/>
  <c r="J257" i="1" s="1"/>
  <c r="K257" i="1" s="1"/>
  <c r="H258" i="1"/>
  <c r="J258" i="1" s="1"/>
  <c r="K258" i="1" s="1"/>
  <c r="H259" i="1"/>
  <c r="J259" i="1" s="1"/>
  <c r="H260" i="1"/>
  <c r="J260" i="1" s="1"/>
  <c r="K260" i="1" s="1"/>
  <c r="H261" i="1"/>
  <c r="J261" i="1" s="1"/>
  <c r="K261" i="1" s="1"/>
  <c r="H262" i="1"/>
  <c r="J262" i="1" s="1"/>
  <c r="K262" i="1" s="1"/>
  <c r="H263" i="1"/>
  <c r="J263" i="1" s="1"/>
  <c r="K263" i="1" s="1"/>
  <c r="H264" i="1"/>
  <c r="J264" i="1" s="1"/>
  <c r="K264" i="1" s="1"/>
  <c r="H265" i="1"/>
  <c r="J265" i="1" s="1"/>
  <c r="K265" i="1" s="1"/>
  <c r="H266" i="1"/>
  <c r="J266" i="1" s="1"/>
  <c r="K266" i="1" s="1"/>
  <c r="H267" i="1"/>
  <c r="J267" i="1" s="1"/>
  <c r="K267" i="1" s="1"/>
  <c r="H268" i="1"/>
  <c r="J268" i="1" s="1"/>
  <c r="K268" i="1" s="1"/>
  <c r="H269" i="1"/>
  <c r="J269" i="1" s="1"/>
  <c r="K269" i="1" s="1"/>
  <c r="H270" i="1"/>
  <c r="J270" i="1" s="1"/>
  <c r="K270" i="1" s="1"/>
  <c r="H271" i="1"/>
  <c r="J271" i="1" s="1"/>
  <c r="K271" i="1" s="1"/>
  <c r="H272" i="1"/>
  <c r="J272" i="1" s="1"/>
  <c r="K272" i="1" s="1"/>
  <c r="H273" i="1"/>
  <c r="J273" i="1" s="1"/>
  <c r="K273" i="1" s="1"/>
  <c r="H274" i="1"/>
  <c r="J274" i="1" s="1"/>
  <c r="K274" i="1" s="1"/>
  <c r="H275" i="1"/>
  <c r="J275" i="1" s="1"/>
  <c r="K275" i="1" s="1"/>
  <c r="H276" i="1"/>
  <c r="J276" i="1" s="1"/>
  <c r="K276" i="1" s="1"/>
  <c r="H277" i="1"/>
  <c r="J277" i="1" s="1"/>
  <c r="K277" i="1" s="1"/>
  <c r="H278" i="1"/>
  <c r="J278" i="1" s="1"/>
  <c r="K278" i="1" s="1"/>
  <c r="H279" i="1"/>
  <c r="J279" i="1" s="1"/>
  <c r="K279" i="1" s="1"/>
  <c r="H280" i="1"/>
  <c r="J280" i="1" s="1"/>
  <c r="H281" i="1"/>
  <c r="J281" i="1" s="1"/>
  <c r="K281" i="1" s="1"/>
  <c r="H282" i="1"/>
  <c r="J282" i="1" s="1"/>
  <c r="K282" i="1" s="1"/>
  <c r="H283" i="1"/>
  <c r="J283" i="1" s="1"/>
  <c r="H284" i="1"/>
  <c r="J284" i="1" s="1"/>
  <c r="K284" i="1" s="1"/>
  <c r="H285" i="1"/>
  <c r="J285" i="1" s="1"/>
  <c r="K285" i="1" s="1"/>
  <c r="H286" i="1"/>
  <c r="J286" i="1" s="1"/>
  <c r="K286" i="1" s="1"/>
  <c r="H287" i="1"/>
  <c r="J287" i="1" s="1"/>
  <c r="K287" i="1" s="1"/>
  <c r="H288" i="1"/>
  <c r="J288" i="1" s="1"/>
  <c r="K288" i="1" s="1"/>
  <c r="H289" i="1"/>
  <c r="J289" i="1" s="1"/>
  <c r="K289" i="1" s="1"/>
  <c r="H290" i="1"/>
  <c r="J290" i="1" s="1"/>
  <c r="K290" i="1" s="1"/>
  <c r="H291" i="1"/>
  <c r="J291" i="1" s="1"/>
  <c r="H292" i="1"/>
  <c r="J292" i="1" s="1"/>
  <c r="K292" i="1" s="1"/>
  <c r="H293" i="1"/>
  <c r="J293" i="1" s="1"/>
  <c r="K293" i="1" s="1"/>
  <c r="H294" i="1"/>
  <c r="J294" i="1" s="1"/>
  <c r="K294" i="1" s="1"/>
  <c r="H295" i="1"/>
  <c r="J295" i="1" s="1"/>
  <c r="K295" i="1" s="1"/>
  <c r="H296" i="1"/>
  <c r="J296" i="1" s="1"/>
  <c r="K296" i="1" s="1"/>
  <c r="H297" i="1"/>
  <c r="J297" i="1" s="1"/>
  <c r="K297" i="1" s="1"/>
  <c r="H298" i="1"/>
  <c r="J298" i="1" s="1"/>
  <c r="K298" i="1" s="1"/>
  <c r="H299" i="1"/>
  <c r="J299" i="1" s="1"/>
  <c r="K299" i="1" s="1"/>
  <c r="H300" i="1"/>
  <c r="J300" i="1" s="1"/>
  <c r="K300" i="1" s="1"/>
  <c r="H301" i="1"/>
  <c r="J301" i="1" s="1"/>
  <c r="K301" i="1" s="1"/>
  <c r="H302" i="1"/>
  <c r="J302" i="1" s="1"/>
  <c r="K302" i="1" s="1"/>
  <c r="H303" i="1"/>
  <c r="J303" i="1" s="1"/>
  <c r="H304" i="1"/>
  <c r="J304" i="1" s="1"/>
  <c r="H305" i="1"/>
  <c r="J305" i="1" s="1"/>
  <c r="K305" i="1" s="1"/>
  <c r="H306" i="1"/>
  <c r="J306" i="1" s="1"/>
  <c r="K306" i="1" s="1"/>
  <c r="H307" i="1"/>
  <c r="J307" i="1" s="1"/>
  <c r="H308" i="1"/>
  <c r="J308" i="1" s="1"/>
  <c r="K308" i="1" s="1"/>
  <c r="H309" i="1"/>
  <c r="J309" i="1" s="1"/>
  <c r="K309" i="1" s="1"/>
  <c r="H310" i="1"/>
  <c r="J310" i="1" s="1"/>
  <c r="K310" i="1" s="1"/>
  <c r="H311" i="1"/>
  <c r="J311" i="1" s="1"/>
  <c r="K311" i="1" s="1"/>
  <c r="H312" i="1"/>
  <c r="J312" i="1" s="1"/>
  <c r="K312" i="1" s="1"/>
  <c r="H313" i="1"/>
  <c r="J313" i="1" s="1"/>
  <c r="K313" i="1" s="1"/>
  <c r="H314" i="1"/>
  <c r="J314" i="1" s="1"/>
  <c r="K314" i="1" s="1"/>
  <c r="H315" i="1"/>
  <c r="J315" i="1" s="1"/>
  <c r="H316" i="1"/>
  <c r="J316" i="1" s="1"/>
  <c r="H317" i="1"/>
  <c r="J317" i="1" s="1"/>
  <c r="K317" i="1" s="1"/>
  <c r="H318" i="1"/>
  <c r="J318" i="1" s="1"/>
  <c r="K318" i="1" s="1"/>
  <c r="H319" i="1"/>
  <c r="J319" i="1" s="1"/>
  <c r="K319" i="1" s="1"/>
  <c r="H320" i="1"/>
  <c r="J320" i="1" s="1"/>
  <c r="K320" i="1" s="1"/>
  <c r="H321" i="1"/>
  <c r="J321" i="1" s="1"/>
  <c r="K321" i="1" s="1"/>
  <c r="H322" i="1"/>
  <c r="J322" i="1" s="1"/>
  <c r="K322" i="1" s="1"/>
  <c r="H323" i="1"/>
  <c r="J323" i="1" s="1"/>
  <c r="K323" i="1" s="1"/>
  <c r="H324" i="1"/>
  <c r="J324" i="1" s="1"/>
  <c r="K324" i="1" s="1"/>
  <c r="H325" i="1"/>
  <c r="J325" i="1" s="1"/>
  <c r="K325" i="1" s="1"/>
  <c r="H326" i="1"/>
  <c r="J326" i="1" s="1"/>
  <c r="K326" i="1" s="1"/>
  <c r="H327" i="1"/>
  <c r="J327" i="1" s="1"/>
  <c r="K327" i="1" s="1"/>
  <c r="H328" i="1"/>
  <c r="J328" i="1" s="1"/>
  <c r="H329" i="1"/>
  <c r="J329" i="1" s="1"/>
  <c r="K329" i="1" s="1"/>
  <c r="H330" i="1"/>
  <c r="J330" i="1" s="1"/>
  <c r="K330" i="1" s="1"/>
  <c r="H331" i="1"/>
  <c r="J331" i="1" s="1"/>
  <c r="K331" i="1" s="1"/>
  <c r="H332" i="1"/>
  <c r="J332" i="1" s="1"/>
  <c r="K332" i="1" s="1"/>
  <c r="H333" i="1"/>
  <c r="J333" i="1" s="1"/>
  <c r="K333" i="1" s="1"/>
  <c r="H334" i="1"/>
  <c r="J334" i="1" s="1"/>
  <c r="K334" i="1" s="1"/>
  <c r="H335" i="1"/>
  <c r="J335" i="1" s="1"/>
  <c r="K335" i="1" s="1"/>
  <c r="H336" i="1"/>
  <c r="J336" i="1" s="1"/>
  <c r="K336" i="1" s="1"/>
  <c r="H337" i="1"/>
  <c r="J337" i="1" s="1"/>
  <c r="K337" i="1" s="1"/>
  <c r="H338" i="1"/>
  <c r="J338" i="1" s="1"/>
  <c r="K338" i="1" s="1"/>
  <c r="H339" i="1"/>
  <c r="J339" i="1" s="1"/>
  <c r="K339" i="1" s="1"/>
  <c r="H340" i="1"/>
  <c r="J340" i="1" s="1"/>
  <c r="H341" i="1"/>
  <c r="J341" i="1" s="1"/>
  <c r="K341" i="1" s="1"/>
  <c r="H342" i="1"/>
  <c r="J342" i="1" s="1"/>
  <c r="K342" i="1" s="1"/>
  <c r="H343" i="1"/>
  <c r="J343" i="1" s="1"/>
  <c r="H344" i="1"/>
  <c r="J344" i="1" s="1"/>
  <c r="K344" i="1" s="1"/>
  <c r="H345" i="1"/>
  <c r="J345" i="1" s="1"/>
  <c r="K345" i="1" s="1"/>
  <c r="H346" i="1"/>
  <c r="J346" i="1" s="1"/>
  <c r="K346" i="1" s="1"/>
  <c r="H347" i="1"/>
  <c r="H348" i="1"/>
  <c r="J348" i="1" s="1"/>
  <c r="K348" i="1" s="1"/>
  <c r="H349" i="1"/>
  <c r="J349" i="1" s="1"/>
  <c r="K349" i="1" s="1"/>
  <c r="H350" i="1"/>
  <c r="J350" i="1" s="1"/>
  <c r="K350" i="1" s="1"/>
  <c r="H351" i="1"/>
  <c r="J351" i="1" s="1"/>
  <c r="H352" i="1"/>
  <c r="J352" i="1" s="1"/>
  <c r="K352" i="1" s="1"/>
  <c r="H353" i="1"/>
  <c r="J353" i="1" s="1"/>
  <c r="K353" i="1" s="1"/>
  <c r="H354" i="1"/>
  <c r="J354" i="1" s="1"/>
  <c r="K354" i="1" s="1"/>
  <c r="H355" i="1"/>
  <c r="J355" i="1" s="1"/>
  <c r="H356" i="1"/>
  <c r="J356" i="1" s="1"/>
  <c r="K356" i="1" s="1"/>
  <c r="H357" i="1"/>
  <c r="J357" i="1" s="1"/>
  <c r="K357" i="1" s="1"/>
  <c r="H358" i="1"/>
  <c r="J358" i="1" s="1"/>
  <c r="K358" i="1" s="1"/>
  <c r="H359" i="1"/>
  <c r="J359" i="1" s="1"/>
  <c r="K359" i="1" s="1"/>
  <c r="H360" i="1"/>
  <c r="J360" i="1" s="1"/>
  <c r="K360" i="1" s="1"/>
  <c r="H361" i="1"/>
  <c r="J361" i="1" s="1"/>
  <c r="K361" i="1" s="1"/>
  <c r="H362" i="1"/>
  <c r="J362" i="1" s="1"/>
  <c r="K362" i="1" s="1"/>
  <c r="H363" i="1"/>
  <c r="J363" i="1" s="1"/>
  <c r="K363" i="1" s="1"/>
  <c r="H364" i="1"/>
  <c r="J364" i="1" s="1"/>
  <c r="H365" i="1"/>
  <c r="J365" i="1" s="1"/>
  <c r="K365" i="1" s="1"/>
  <c r="H366" i="1"/>
  <c r="J366" i="1" s="1"/>
  <c r="K366" i="1" s="1"/>
  <c r="H367" i="1"/>
  <c r="H368" i="1"/>
  <c r="J368" i="1" s="1"/>
  <c r="K368" i="1" s="1"/>
  <c r="H369" i="1"/>
  <c r="J369" i="1" s="1"/>
  <c r="K369" i="1" s="1"/>
  <c r="H370" i="1"/>
  <c r="J370" i="1" s="1"/>
  <c r="K370" i="1" s="1"/>
  <c r="H371" i="1"/>
  <c r="J371" i="1" s="1"/>
  <c r="K371" i="1" s="1"/>
  <c r="H372" i="1"/>
  <c r="J372" i="1" s="1"/>
  <c r="K372" i="1" s="1"/>
  <c r="H373" i="1"/>
  <c r="J373" i="1" s="1"/>
  <c r="K373" i="1" s="1"/>
  <c r="H374" i="1"/>
  <c r="J374" i="1" s="1"/>
  <c r="K374" i="1" s="1"/>
  <c r="H375" i="1"/>
  <c r="J375" i="1" s="1"/>
  <c r="K375" i="1" s="1"/>
  <c r="H376" i="1"/>
  <c r="J376" i="1" s="1"/>
  <c r="K376" i="1" s="1"/>
  <c r="H377" i="1"/>
  <c r="J377" i="1" s="1"/>
  <c r="K377" i="1" s="1"/>
  <c r="H378" i="1"/>
  <c r="J378" i="1" s="1"/>
  <c r="K378" i="1" s="1"/>
  <c r="H379" i="1"/>
  <c r="J379" i="1" s="1"/>
  <c r="K379" i="1" s="1"/>
  <c r="H380" i="1"/>
  <c r="J380" i="1" s="1"/>
  <c r="K380" i="1" s="1"/>
  <c r="H381" i="1"/>
  <c r="J381" i="1" s="1"/>
  <c r="K381" i="1" s="1"/>
  <c r="H382" i="1"/>
  <c r="J382" i="1" s="1"/>
  <c r="K382" i="1" s="1"/>
  <c r="H383" i="1"/>
  <c r="J383" i="1" s="1"/>
  <c r="K383" i="1" s="1"/>
  <c r="H384" i="1"/>
  <c r="J384" i="1" s="1"/>
  <c r="K384" i="1" s="1"/>
  <c r="H385" i="1"/>
  <c r="J385" i="1" s="1"/>
  <c r="K385" i="1" s="1"/>
  <c r="H386" i="1"/>
  <c r="J386" i="1" s="1"/>
  <c r="K386" i="1" s="1"/>
  <c r="H387" i="1"/>
  <c r="J387" i="1" s="1"/>
  <c r="K387" i="1" s="1"/>
  <c r="H388" i="1"/>
  <c r="J388" i="1" s="1"/>
  <c r="K388" i="1" s="1"/>
  <c r="H389" i="1"/>
  <c r="J389" i="1" s="1"/>
  <c r="K389" i="1" s="1"/>
  <c r="H390" i="1"/>
  <c r="J390" i="1" s="1"/>
  <c r="K390" i="1" s="1"/>
  <c r="H391" i="1"/>
  <c r="J391" i="1" s="1"/>
  <c r="K391" i="1" s="1"/>
  <c r="H392" i="1"/>
  <c r="J392" i="1" s="1"/>
  <c r="K392" i="1" s="1"/>
  <c r="H393" i="1"/>
  <c r="J393" i="1" s="1"/>
  <c r="K393" i="1" s="1"/>
  <c r="H394" i="1"/>
  <c r="J394" i="1" s="1"/>
  <c r="K394" i="1" s="1"/>
  <c r="H395" i="1"/>
  <c r="J395" i="1" s="1"/>
  <c r="K395" i="1" s="1"/>
  <c r="H396" i="1"/>
  <c r="J396" i="1" s="1"/>
  <c r="K396" i="1" s="1"/>
  <c r="H397" i="1"/>
  <c r="J397" i="1" s="1"/>
  <c r="K397" i="1" s="1"/>
  <c r="H398" i="1"/>
  <c r="J398" i="1" s="1"/>
  <c r="K398" i="1" s="1"/>
  <c r="H399" i="1"/>
  <c r="J399" i="1" s="1"/>
  <c r="H400" i="1"/>
  <c r="J400" i="1" s="1"/>
  <c r="K400" i="1" s="1"/>
  <c r="H401" i="1"/>
  <c r="J401" i="1" s="1"/>
  <c r="K401" i="1" s="1"/>
  <c r="H402" i="1"/>
  <c r="J402" i="1" s="1"/>
  <c r="K402" i="1" s="1"/>
  <c r="H403" i="1"/>
  <c r="J403" i="1" s="1"/>
  <c r="K403" i="1" s="1"/>
  <c r="H404" i="1"/>
  <c r="J404" i="1" s="1"/>
  <c r="K404" i="1" s="1"/>
  <c r="H405" i="1"/>
  <c r="J405" i="1" s="1"/>
  <c r="K405" i="1" s="1"/>
  <c r="H406" i="1"/>
  <c r="J406" i="1" s="1"/>
  <c r="K406" i="1" s="1"/>
  <c r="H407" i="1"/>
  <c r="J407" i="1" s="1"/>
  <c r="K407" i="1" s="1"/>
  <c r="H408" i="1"/>
  <c r="J408" i="1" s="1"/>
  <c r="K408" i="1" s="1"/>
  <c r="H409" i="1"/>
  <c r="J409" i="1" s="1"/>
  <c r="K409" i="1" s="1"/>
  <c r="H410" i="1"/>
  <c r="J410" i="1" s="1"/>
  <c r="K410" i="1" s="1"/>
  <c r="H411" i="1"/>
  <c r="J411" i="1" s="1"/>
  <c r="K411" i="1" s="1"/>
  <c r="H412" i="1"/>
  <c r="J412" i="1" s="1"/>
  <c r="K412" i="1" s="1"/>
  <c r="H413" i="1"/>
  <c r="J413" i="1" s="1"/>
  <c r="K413" i="1" s="1"/>
  <c r="H414" i="1"/>
  <c r="J414" i="1" s="1"/>
  <c r="K414" i="1" s="1"/>
  <c r="H415" i="1"/>
  <c r="J415" i="1" s="1"/>
  <c r="K415" i="1" s="1"/>
  <c r="H416" i="1"/>
  <c r="J416" i="1" s="1"/>
  <c r="K416" i="1" s="1"/>
  <c r="H417" i="1"/>
  <c r="J417" i="1" s="1"/>
  <c r="K417" i="1" s="1"/>
  <c r="H418" i="1"/>
  <c r="J418" i="1" s="1"/>
  <c r="K418" i="1" s="1"/>
  <c r="H419" i="1"/>
  <c r="J419" i="1" s="1"/>
  <c r="K419" i="1" s="1"/>
  <c r="H420" i="1"/>
  <c r="J420" i="1" s="1"/>
  <c r="K420" i="1" s="1"/>
  <c r="H421" i="1"/>
  <c r="J421" i="1" s="1"/>
  <c r="K421" i="1" s="1"/>
  <c r="H422" i="1"/>
  <c r="H423" i="1"/>
  <c r="J423" i="1" s="1"/>
  <c r="K423" i="1" s="1"/>
  <c r="H424" i="1"/>
  <c r="J424" i="1" s="1"/>
  <c r="K424" i="1" s="1"/>
  <c r="H425" i="1"/>
  <c r="J425" i="1" s="1"/>
  <c r="K425" i="1" s="1"/>
  <c r="H426" i="1"/>
  <c r="J426" i="1" s="1"/>
  <c r="K426" i="1" s="1"/>
  <c r="H427" i="1"/>
  <c r="J427" i="1" s="1"/>
  <c r="K427" i="1" s="1"/>
  <c r="H428" i="1"/>
  <c r="J428" i="1" s="1"/>
  <c r="K428" i="1" s="1"/>
  <c r="H429" i="1"/>
  <c r="J429" i="1" s="1"/>
  <c r="K429" i="1" s="1"/>
  <c r="H430" i="1"/>
  <c r="J430" i="1" s="1"/>
  <c r="K430" i="1" s="1"/>
  <c r="H431" i="1"/>
  <c r="J431" i="1" s="1"/>
  <c r="K431" i="1" s="1"/>
  <c r="H432" i="1"/>
  <c r="J432" i="1" s="1"/>
  <c r="K432" i="1" s="1"/>
  <c r="H433" i="1"/>
  <c r="J433" i="1" s="1"/>
  <c r="K433" i="1" s="1"/>
  <c r="H434" i="1"/>
  <c r="J434" i="1" s="1"/>
  <c r="K434" i="1" s="1"/>
  <c r="H435" i="1"/>
  <c r="J435" i="1" s="1"/>
  <c r="H436" i="1"/>
  <c r="J436" i="1" s="1"/>
  <c r="K436" i="1" s="1"/>
  <c r="H437" i="1"/>
  <c r="J437" i="1" s="1"/>
  <c r="K437" i="1" s="1"/>
  <c r="H438" i="1"/>
  <c r="J438" i="1" s="1"/>
  <c r="K438" i="1" s="1"/>
  <c r="H439" i="1"/>
  <c r="J439" i="1" s="1"/>
  <c r="K439" i="1" s="1"/>
  <c r="H440" i="1"/>
  <c r="J440" i="1" s="1"/>
  <c r="K440" i="1" s="1"/>
  <c r="H441" i="1"/>
  <c r="J441" i="1" s="1"/>
  <c r="K441" i="1" s="1"/>
  <c r="H442" i="1"/>
  <c r="J442" i="1" s="1"/>
  <c r="K442" i="1" s="1"/>
  <c r="H443" i="1"/>
  <c r="J443" i="1" s="1"/>
  <c r="K443" i="1" s="1"/>
  <c r="H444" i="1"/>
  <c r="J444" i="1" s="1"/>
  <c r="K444" i="1" s="1"/>
  <c r="H445" i="1"/>
  <c r="J445" i="1" s="1"/>
  <c r="K445" i="1" s="1"/>
  <c r="H446" i="1"/>
  <c r="J446" i="1" s="1"/>
  <c r="K446" i="1" s="1"/>
  <c r="H447" i="1"/>
  <c r="J447" i="1" s="1"/>
  <c r="H448" i="1"/>
  <c r="J448" i="1" s="1"/>
  <c r="K448" i="1" s="1"/>
  <c r="H449" i="1"/>
  <c r="J449" i="1" s="1"/>
  <c r="K449" i="1" s="1"/>
  <c r="H450" i="1"/>
  <c r="J450" i="1" s="1"/>
  <c r="K450" i="1" s="1"/>
  <c r="H451" i="1"/>
  <c r="J451" i="1" s="1"/>
  <c r="K451" i="1" s="1"/>
  <c r="H452" i="1"/>
  <c r="J452" i="1" s="1"/>
  <c r="K452" i="1" s="1"/>
  <c r="H453" i="1"/>
  <c r="J453" i="1" s="1"/>
  <c r="K453" i="1" s="1"/>
  <c r="H454" i="1"/>
  <c r="J454" i="1" s="1"/>
  <c r="K454" i="1" s="1"/>
  <c r="H455" i="1"/>
  <c r="J455" i="1" s="1"/>
  <c r="K455" i="1" s="1"/>
  <c r="H456" i="1"/>
  <c r="J456" i="1" s="1"/>
  <c r="K456" i="1" s="1"/>
  <c r="H457" i="1"/>
  <c r="J457" i="1" s="1"/>
  <c r="K457" i="1" s="1"/>
  <c r="H458" i="1"/>
  <c r="J458" i="1" s="1"/>
  <c r="K458" i="1" s="1"/>
  <c r="H459" i="1"/>
  <c r="J459" i="1" s="1"/>
  <c r="H460" i="1"/>
  <c r="H461" i="1"/>
  <c r="J461" i="1" s="1"/>
  <c r="K461" i="1" s="1"/>
  <c r="H462" i="1"/>
  <c r="J462" i="1" s="1"/>
  <c r="K462" i="1" s="1"/>
  <c r="H463" i="1"/>
  <c r="J463" i="1" s="1"/>
  <c r="K463" i="1" s="1"/>
  <c r="H464" i="1"/>
  <c r="J464" i="1" s="1"/>
  <c r="K464" i="1" s="1"/>
  <c r="H465" i="1"/>
  <c r="J465" i="1" s="1"/>
  <c r="K465" i="1" s="1"/>
  <c r="H466" i="1"/>
  <c r="J466" i="1" s="1"/>
  <c r="K466" i="1" s="1"/>
  <c r="H467" i="1"/>
  <c r="J467" i="1" s="1"/>
  <c r="K467" i="1" s="1"/>
  <c r="H468" i="1"/>
  <c r="J468" i="1" s="1"/>
  <c r="K468" i="1" s="1"/>
  <c r="H469" i="1"/>
  <c r="J469" i="1" s="1"/>
  <c r="K469" i="1" s="1"/>
  <c r="H470" i="1"/>
  <c r="J470" i="1" s="1"/>
  <c r="K470" i="1" s="1"/>
  <c r="H471" i="1"/>
  <c r="J471" i="1" s="1"/>
  <c r="K471" i="1" s="1"/>
  <c r="H472" i="1"/>
  <c r="J472" i="1" s="1"/>
  <c r="K472" i="1" s="1"/>
  <c r="H473" i="1"/>
  <c r="J473" i="1" s="1"/>
  <c r="K473" i="1" s="1"/>
  <c r="H474" i="1"/>
  <c r="J474" i="1" s="1"/>
  <c r="K474" i="1" s="1"/>
  <c r="H475" i="1"/>
  <c r="J475" i="1" s="1"/>
  <c r="K475" i="1" s="1"/>
  <c r="H476" i="1"/>
  <c r="J476" i="1" s="1"/>
  <c r="K476" i="1" s="1"/>
  <c r="H477" i="1"/>
  <c r="J477" i="1" s="1"/>
  <c r="K477" i="1" s="1"/>
  <c r="H478" i="1"/>
  <c r="J478" i="1" s="1"/>
  <c r="K478" i="1" s="1"/>
  <c r="H479" i="1"/>
  <c r="J479" i="1" s="1"/>
  <c r="K479" i="1" s="1"/>
  <c r="H480" i="1"/>
  <c r="J480" i="1" s="1"/>
  <c r="K480" i="1" s="1"/>
  <c r="H481" i="1"/>
  <c r="J481" i="1" s="1"/>
  <c r="K481" i="1" s="1"/>
  <c r="H482" i="1"/>
  <c r="J482" i="1" s="1"/>
  <c r="K482" i="1" s="1"/>
  <c r="H483" i="1"/>
  <c r="J483" i="1" s="1"/>
  <c r="K483" i="1" s="1"/>
  <c r="H484" i="1"/>
  <c r="J484" i="1" s="1"/>
  <c r="K484" i="1" s="1"/>
  <c r="H485" i="1"/>
  <c r="J485" i="1" s="1"/>
  <c r="K485" i="1" s="1"/>
  <c r="H486" i="1"/>
  <c r="J486" i="1" s="1"/>
  <c r="K486" i="1" s="1"/>
  <c r="H487" i="1"/>
  <c r="J487" i="1" s="1"/>
  <c r="K487" i="1" s="1"/>
  <c r="H488" i="1"/>
  <c r="J488" i="1" s="1"/>
  <c r="K488" i="1" s="1"/>
  <c r="H489" i="1"/>
  <c r="J489" i="1" s="1"/>
  <c r="K489" i="1" s="1"/>
  <c r="H490" i="1"/>
  <c r="J490" i="1" s="1"/>
  <c r="K490" i="1" s="1"/>
  <c r="H491" i="1"/>
  <c r="J491" i="1" s="1"/>
  <c r="K491" i="1" s="1"/>
  <c r="H492" i="1"/>
  <c r="J492" i="1" s="1"/>
  <c r="K492" i="1" s="1"/>
  <c r="H493" i="1"/>
  <c r="J493" i="1" s="1"/>
  <c r="K493" i="1" s="1"/>
  <c r="H494" i="1"/>
  <c r="J494" i="1" s="1"/>
  <c r="K494" i="1" s="1"/>
  <c r="H495" i="1"/>
  <c r="J495" i="1" s="1"/>
  <c r="H496" i="1"/>
  <c r="J496" i="1" s="1"/>
  <c r="K496" i="1" s="1"/>
  <c r="H497" i="1"/>
  <c r="J497" i="1" s="1"/>
  <c r="K497" i="1" s="1"/>
  <c r="H498" i="1"/>
  <c r="J498" i="1" s="1"/>
  <c r="K498" i="1" s="1"/>
  <c r="H499" i="1"/>
  <c r="J499" i="1" s="1"/>
  <c r="K499" i="1" s="1"/>
  <c r="H500" i="1"/>
  <c r="J500" i="1" s="1"/>
  <c r="K500" i="1" s="1"/>
  <c r="H501" i="1"/>
  <c r="J501" i="1" s="1"/>
  <c r="K501" i="1" s="1"/>
  <c r="K3" i="1"/>
  <c r="K4" i="1"/>
  <c r="K7" i="1"/>
  <c r="K15" i="1"/>
  <c r="K16" i="1"/>
  <c r="K19" i="1"/>
  <c r="K27" i="1"/>
  <c r="K28" i="1"/>
  <c r="K40" i="1"/>
  <c r="K52" i="1"/>
  <c r="K55" i="1"/>
  <c r="K63" i="1"/>
  <c r="K67" i="1"/>
  <c r="K76" i="1"/>
  <c r="K79" i="1"/>
  <c r="K88" i="1"/>
  <c r="K100" i="1"/>
  <c r="K111" i="1"/>
  <c r="K112" i="1"/>
  <c r="K115" i="1"/>
  <c r="K136" i="1"/>
  <c r="K139" i="1"/>
  <c r="K147" i="1"/>
  <c r="K151" i="1"/>
  <c r="K159" i="1"/>
  <c r="K160" i="1"/>
  <c r="K163" i="1"/>
  <c r="K171" i="1"/>
  <c r="K172" i="1"/>
  <c r="K196" i="1"/>
  <c r="K199" i="1"/>
  <c r="K207" i="1"/>
  <c r="K211" i="1"/>
  <c r="K220" i="1"/>
  <c r="K223" i="1"/>
  <c r="K232" i="1"/>
  <c r="K255" i="1"/>
  <c r="K256" i="1"/>
  <c r="K259" i="1"/>
  <c r="K280" i="1"/>
  <c r="K283" i="1"/>
  <c r="K291" i="1"/>
  <c r="K303" i="1"/>
  <c r="K304" i="1"/>
  <c r="K307" i="1"/>
  <c r="K315" i="1"/>
  <c r="K316" i="1"/>
  <c r="K328" i="1"/>
  <c r="K340" i="1"/>
  <c r="K343" i="1"/>
  <c r="K351" i="1"/>
  <c r="K355" i="1"/>
  <c r="K364" i="1"/>
  <c r="K399" i="1"/>
  <c r="K435" i="1"/>
  <c r="K447" i="1"/>
  <c r="K459" i="1"/>
  <c r="K495" i="1"/>
  <c r="B6" i="3"/>
  <c r="B5" i="3"/>
  <c r="N226" i="1" l="1"/>
  <c r="N154" i="1"/>
  <c r="N22" i="1"/>
  <c r="N102" i="1"/>
  <c r="N67" i="1"/>
  <c r="N42" i="1"/>
  <c r="N122" i="1"/>
  <c r="N468" i="1"/>
  <c r="N420" i="1"/>
  <c r="N372" i="1"/>
  <c r="N336" i="1"/>
  <c r="N324" i="1"/>
  <c r="N300" i="1"/>
  <c r="N288" i="1"/>
  <c r="N276" i="1"/>
  <c r="N264" i="1"/>
  <c r="N252" i="1"/>
  <c r="N240" i="1"/>
  <c r="N216" i="1"/>
  <c r="N204" i="1"/>
  <c r="N168" i="1"/>
  <c r="N144" i="1"/>
  <c r="N132" i="1"/>
  <c r="N120" i="1"/>
  <c r="N96" i="1"/>
  <c r="N84" i="1"/>
  <c r="N72" i="1"/>
  <c r="N60" i="1"/>
  <c r="N48" i="1"/>
  <c r="N36" i="1"/>
  <c r="N24" i="1"/>
  <c r="N355" i="1"/>
  <c r="N444" i="1"/>
  <c r="N384" i="1"/>
  <c r="N228" i="1"/>
  <c r="N418" i="1"/>
  <c r="N394" i="1"/>
  <c r="N370" i="1"/>
  <c r="N346" i="1"/>
  <c r="N334" i="1"/>
  <c r="N322" i="1"/>
  <c r="N310" i="1"/>
  <c r="N298" i="1"/>
  <c r="N286" i="1"/>
  <c r="N274" i="1"/>
  <c r="N262" i="1"/>
  <c r="N250" i="1"/>
  <c r="N238" i="1"/>
  <c r="N214" i="1"/>
  <c r="N202" i="1"/>
  <c r="N190" i="1"/>
  <c r="N178" i="1"/>
  <c r="N166" i="1"/>
  <c r="N142" i="1"/>
  <c r="N130" i="1"/>
  <c r="N118" i="1"/>
  <c r="N106" i="1"/>
  <c r="N94" i="1"/>
  <c r="N82" i="1"/>
  <c r="N70" i="1"/>
  <c r="N58" i="1"/>
  <c r="N46" i="1"/>
  <c r="N34" i="1"/>
  <c r="N10" i="1"/>
  <c r="N480" i="1"/>
  <c r="N192" i="1"/>
  <c r="N342" i="1"/>
  <c r="N110" i="1"/>
  <c r="N30" i="1"/>
  <c r="N83" i="1"/>
  <c r="N477" i="1"/>
  <c r="N345" i="1"/>
  <c r="N321" i="1"/>
  <c r="N273" i="1"/>
  <c r="N249" i="1"/>
  <c r="N165" i="1"/>
  <c r="N456" i="1"/>
  <c r="N396" i="1"/>
  <c r="N348" i="1"/>
  <c r="N312" i="1"/>
  <c r="N180" i="1"/>
  <c r="N426" i="1"/>
  <c r="N427" i="1"/>
  <c r="N432" i="1"/>
  <c r="N360" i="1"/>
  <c r="N156" i="1"/>
  <c r="N482" i="1"/>
  <c r="N338" i="1"/>
  <c r="N218" i="1"/>
  <c r="N86" i="1"/>
  <c r="N150" i="1"/>
  <c r="N79" i="1"/>
  <c r="N408" i="1"/>
  <c r="A9" i="3"/>
  <c r="N74" i="1"/>
  <c r="N492" i="1"/>
  <c r="N267" i="1"/>
  <c r="N195" i="1"/>
  <c r="N75" i="1"/>
  <c r="N111" i="1"/>
  <c r="N495" i="1"/>
  <c r="N483" i="1"/>
  <c r="N303" i="1"/>
  <c r="N26" i="1"/>
  <c r="N403" i="1"/>
  <c r="N291" i="1"/>
  <c r="N199" i="1"/>
  <c r="N362" i="1"/>
  <c r="N242" i="1"/>
  <c r="N8" i="1"/>
  <c r="N369" i="1"/>
  <c r="N297" i="1"/>
  <c r="N163" i="1"/>
  <c r="N12" i="1"/>
  <c r="N399" i="1"/>
  <c r="N269" i="1"/>
  <c r="N198" i="1"/>
  <c r="N2" i="1"/>
  <c r="J2" i="1"/>
  <c r="N458" i="1"/>
  <c r="N327" i="1"/>
  <c r="N112" i="1"/>
  <c r="N3" i="1"/>
  <c r="N367" i="1"/>
  <c r="N283" i="1"/>
  <c r="N227" i="1"/>
  <c r="N85" i="1"/>
  <c r="N20" i="1"/>
  <c r="N430" i="1"/>
  <c r="N499" i="1"/>
  <c r="N187" i="1"/>
  <c r="N501" i="1"/>
  <c r="N470" i="1"/>
  <c r="N326" i="1"/>
  <c r="N206" i="1"/>
  <c r="N425" i="1"/>
  <c r="N280" i="1"/>
  <c r="N421" i="1"/>
  <c r="N489" i="1"/>
  <c r="N465" i="1"/>
  <c r="N453" i="1"/>
  <c r="N429" i="1"/>
  <c r="N405" i="1"/>
  <c r="N393" i="1"/>
  <c r="N357" i="1"/>
  <c r="N333" i="1"/>
  <c r="N309" i="1"/>
  <c r="N285" i="1"/>
  <c r="N261" i="1"/>
  <c r="N237" i="1"/>
  <c r="N225" i="1"/>
  <c r="N213" i="1"/>
  <c r="N201" i="1"/>
  <c r="N189" i="1"/>
  <c r="N153" i="1"/>
  <c r="N117" i="1"/>
  <c r="N105" i="1"/>
  <c r="N93" i="1"/>
  <c r="N81" i="1"/>
  <c r="N57" i="1"/>
  <c r="N45" i="1"/>
  <c r="N33" i="1"/>
  <c r="N21" i="1"/>
  <c r="N9" i="1"/>
  <c r="N466" i="1"/>
  <c r="N358" i="1"/>
  <c r="N386" i="1"/>
  <c r="N255" i="1"/>
  <c r="N162" i="1"/>
  <c r="N63" i="1"/>
  <c r="N90" i="1"/>
  <c r="N486" i="1"/>
  <c r="N419" i="1"/>
  <c r="N139" i="1"/>
  <c r="N80" i="1"/>
  <c r="N500" i="1"/>
  <c r="N392" i="1"/>
  <c r="N368" i="1"/>
  <c r="N487" i="1"/>
  <c r="N351" i="1"/>
  <c r="N243" i="1"/>
  <c r="N161" i="1"/>
  <c r="N89" i="1"/>
  <c r="N131" i="1"/>
  <c r="N406" i="1"/>
  <c r="N159" i="1"/>
  <c r="N356" i="1"/>
  <c r="N76" i="1"/>
  <c r="N475" i="1"/>
  <c r="N200" i="1"/>
  <c r="N462" i="1"/>
  <c r="N330" i="1"/>
  <c r="N478" i="1"/>
  <c r="N451" i="1"/>
  <c r="N151" i="1"/>
  <c r="N39" i="1"/>
  <c r="N340" i="1"/>
  <c r="N417" i="1"/>
  <c r="N290" i="1"/>
  <c r="N170" i="1"/>
  <c r="N381" i="1"/>
  <c r="N207" i="1"/>
  <c r="N464" i="1"/>
  <c r="N397" i="1"/>
  <c r="N251" i="1"/>
  <c r="N181" i="1"/>
  <c r="N69" i="1"/>
  <c r="N497" i="1"/>
  <c r="N473" i="1"/>
  <c r="N449" i="1"/>
  <c r="N413" i="1"/>
  <c r="N401" i="1"/>
  <c r="N377" i="1"/>
  <c r="N365" i="1"/>
  <c r="N317" i="1"/>
  <c r="N305" i="1"/>
  <c r="N293" i="1"/>
  <c r="N281" i="1"/>
  <c r="N257" i="1"/>
  <c r="N197" i="1"/>
  <c r="N185" i="1"/>
  <c r="N149" i="1"/>
  <c r="N137" i="1"/>
  <c r="N125" i="1"/>
  <c r="N113" i="1"/>
  <c r="N77" i="1"/>
  <c r="N53" i="1"/>
  <c r="N5" i="1"/>
  <c r="N382" i="1"/>
  <c r="N441" i="1"/>
  <c r="N341" i="1"/>
  <c r="N135" i="1"/>
  <c r="N220" i="1"/>
  <c r="N416" i="1"/>
  <c r="N278" i="1"/>
  <c r="N158" i="1"/>
  <c r="N378" i="1"/>
  <c r="N463" i="1"/>
  <c r="N323" i="1"/>
  <c r="N177" i="1"/>
  <c r="N127" i="1"/>
  <c r="N484" i="1"/>
  <c r="N448" i="1"/>
  <c r="N412" i="1"/>
  <c r="N400" i="1"/>
  <c r="N376" i="1"/>
  <c r="N364" i="1"/>
  <c r="N328" i="1"/>
  <c r="N316" i="1"/>
  <c r="N304" i="1"/>
  <c r="N268" i="1"/>
  <c r="N256" i="1"/>
  <c r="N244" i="1"/>
  <c r="N184" i="1"/>
  <c r="N172" i="1"/>
  <c r="N160" i="1"/>
  <c r="N136" i="1"/>
  <c r="N124" i="1"/>
  <c r="N88" i="1"/>
  <c r="N52" i="1"/>
  <c r="N4" i="1"/>
  <c r="N442" i="1"/>
  <c r="N307" i="1"/>
  <c r="N231" i="1"/>
  <c r="N123" i="1"/>
  <c r="N196" i="1"/>
  <c r="N410" i="1"/>
  <c r="N266" i="1"/>
  <c r="N146" i="1"/>
  <c r="N363" i="1"/>
  <c r="N174" i="1"/>
  <c r="N29" i="1"/>
  <c r="N176" i="1"/>
  <c r="N65" i="1"/>
  <c r="N471" i="1"/>
  <c r="N459" i="1"/>
  <c r="N447" i="1"/>
  <c r="N423" i="1"/>
  <c r="N411" i="1"/>
  <c r="N387" i="1"/>
  <c r="N375" i="1"/>
  <c r="N339" i="1"/>
  <c r="N315" i="1"/>
  <c r="N279" i="1"/>
  <c r="N219" i="1"/>
  <c r="N183" i="1"/>
  <c r="N171" i="1"/>
  <c r="N147" i="1"/>
  <c r="N99" i="1"/>
  <c r="N87" i="1"/>
  <c r="N51" i="1"/>
  <c r="N27" i="1"/>
  <c r="N490" i="1"/>
  <c r="N439" i="1"/>
  <c r="N223" i="1"/>
  <c r="N474" i="1"/>
  <c r="N354" i="1"/>
  <c r="N371" i="1"/>
  <c r="N454" i="1"/>
  <c r="N435" i="1"/>
  <c r="N295" i="1"/>
  <c r="N104" i="1"/>
  <c r="N15" i="1"/>
  <c r="N129" i="1"/>
  <c r="N374" i="1"/>
  <c r="N254" i="1"/>
  <c r="N472" i="1"/>
  <c r="N352" i="1"/>
  <c r="N141" i="1"/>
  <c r="N247" i="1"/>
  <c r="N173" i="1"/>
  <c r="N493" i="1"/>
  <c r="N481" i="1"/>
  <c r="N469" i="1"/>
  <c r="N457" i="1"/>
  <c r="N445" i="1"/>
  <c r="N433" i="1"/>
  <c r="N409" i="1"/>
  <c r="N385" i="1"/>
  <c r="N373" i="1"/>
  <c r="N361" i="1"/>
  <c r="N349" i="1"/>
  <c r="N337" i="1"/>
  <c r="N325" i="1"/>
  <c r="N313" i="1"/>
  <c r="N301" i="1"/>
  <c r="N289" i="1"/>
  <c r="N277" i="1"/>
  <c r="N265" i="1"/>
  <c r="N253" i="1"/>
  <c r="N241" i="1"/>
  <c r="N229" i="1"/>
  <c r="N217" i="1"/>
  <c r="N205" i="1"/>
  <c r="N193" i="1"/>
  <c r="N169" i="1"/>
  <c r="N157" i="1"/>
  <c r="N145" i="1"/>
  <c r="N133" i="1"/>
  <c r="N121" i="1"/>
  <c r="N109" i="1"/>
  <c r="N97" i="1"/>
  <c r="N73" i="1"/>
  <c r="N61" i="1"/>
  <c r="N49" i="1"/>
  <c r="N37" i="1"/>
  <c r="N25" i="1"/>
  <c r="N13" i="1"/>
  <c r="N235" i="1"/>
  <c r="N91" i="1"/>
  <c r="N446" i="1"/>
  <c r="N314" i="1"/>
  <c r="N194" i="1"/>
  <c r="N68" i="1"/>
  <c r="N138" i="1"/>
  <c r="N491" i="1"/>
  <c r="N443" i="1"/>
  <c r="N344" i="1"/>
  <c r="N272" i="1"/>
  <c r="N107" i="1"/>
  <c r="N78" i="1"/>
  <c r="N488" i="1"/>
  <c r="N476" i="1"/>
  <c r="N452" i="1"/>
  <c r="N428" i="1"/>
  <c r="N404" i="1"/>
  <c r="N380" i="1"/>
  <c r="N332" i="1"/>
  <c r="N320" i="1"/>
  <c r="N296" i="1"/>
  <c r="N284" i="1"/>
  <c r="N236" i="1"/>
  <c r="N212" i="1"/>
  <c r="N164" i="1"/>
  <c r="N152" i="1"/>
  <c r="N140" i="1"/>
  <c r="N116" i="1"/>
  <c r="N92" i="1"/>
  <c r="N56" i="1"/>
  <c r="N44" i="1"/>
  <c r="N32" i="1"/>
  <c r="N234" i="1"/>
  <c r="N7" i="1"/>
  <c r="N434" i="1"/>
  <c r="N308" i="1"/>
  <c r="N188" i="1"/>
  <c r="N62" i="1"/>
  <c r="N258" i="1"/>
  <c r="N331" i="1"/>
  <c r="N271" i="1"/>
  <c r="N224" i="1"/>
  <c r="N422" i="1"/>
  <c r="N302" i="1"/>
  <c r="N182" i="1"/>
  <c r="N38" i="1"/>
  <c r="N438" i="1"/>
  <c r="N379" i="1"/>
  <c r="N211" i="1"/>
  <c r="N155" i="1"/>
  <c r="N498" i="1"/>
  <c r="N450" i="1"/>
  <c r="N414" i="1"/>
  <c r="N402" i="1"/>
  <c r="N390" i="1"/>
  <c r="N366" i="1"/>
  <c r="N318" i="1"/>
  <c r="N306" i="1"/>
  <c r="N294" i="1"/>
  <c r="N282" i="1"/>
  <c r="N270" i="1"/>
  <c r="N246" i="1"/>
  <c r="N222" i="1"/>
  <c r="N210" i="1"/>
  <c r="N186" i="1"/>
  <c r="N126" i="1"/>
  <c r="N114" i="1"/>
  <c r="N54" i="1"/>
  <c r="N6" i="1"/>
  <c r="N50" i="1"/>
  <c r="N398" i="1"/>
  <c r="N260" i="1"/>
  <c r="N134" i="1"/>
  <c r="N319" i="1"/>
  <c r="N248" i="1"/>
  <c r="N43" i="1"/>
  <c r="N440" i="1"/>
  <c r="N343" i="1"/>
  <c r="N259" i="1"/>
  <c r="N115" i="1"/>
  <c r="N18" i="1"/>
  <c r="N494" i="1"/>
  <c r="N350" i="1"/>
  <c r="N230" i="1"/>
  <c r="N98" i="1"/>
  <c r="N415" i="1"/>
  <c r="N347" i="1"/>
  <c r="N275" i="1"/>
  <c r="N175" i="1"/>
  <c r="N128" i="1"/>
  <c r="N31" i="1"/>
  <c r="N479" i="1"/>
  <c r="N467" i="1"/>
  <c r="N455" i="1"/>
  <c r="N431" i="1"/>
  <c r="N407" i="1"/>
  <c r="N395" i="1"/>
  <c r="N383" i="1"/>
  <c r="N359" i="1"/>
  <c r="N335" i="1"/>
  <c r="N311" i="1"/>
  <c r="N299" i="1"/>
  <c r="N287" i="1"/>
  <c r="N263" i="1"/>
  <c r="N239" i="1"/>
  <c r="N215" i="1"/>
  <c r="N203" i="1"/>
  <c r="N191" i="1"/>
  <c r="N179" i="1"/>
  <c r="N167" i="1"/>
  <c r="N143" i="1"/>
  <c r="N119" i="1"/>
  <c r="N95" i="1"/>
  <c r="N71" i="1"/>
  <c r="N59" i="1"/>
  <c r="N47" i="1"/>
  <c r="N35" i="1"/>
  <c r="N23" i="1"/>
  <c r="N11" i="1"/>
  <c r="C23" i="6"/>
  <c r="B23" i="6"/>
  <c r="C5" i="6"/>
  <c r="C17" i="6"/>
  <c r="B6" i="6"/>
  <c r="B18" i="6"/>
  <c r="C6" i="6"/>
  <c r="C18" i="6"/>
  <c r="B7" i="6"/>
  <c r="B19" i="6"/>
  <c r="C7" i="6"/>
  <c r="C19" i="6"/>
  <c r="B8" i="6"/>
  <c r="B20" i="6"/>
  <c r="C8" i="6"/>
  <c r="C20" i="6"/>
  <c r="B9" i="6"/>
  <c r="B21" i="6"/>
  <c r="C9" i="6"/>
  <c r="C21" i="6"/>
  <c r="B10" i="6"/>
  <c r="B22" i="6"/>
  <c r="C16" i="6"/>
  <c r="B16" i="6"/>
  <c r="C15" i="6"/>
  <c r="B5" i="6"/>
  <c r="B15" i="6"/>
  <c r="C14" i="6"/>
  <c r="B17" i="6"/>
  <c r="B14" i="6"/>
  <c r="C13" i="6"/>
  <c r="B13" i="6"/>
  <c r="C12" i="6"/>
  <c r="B12" i="6"/>
  <c r="C11" i="6"/>
  <c r="B11" i="6"/>
  <c r="C22" i="6"/>
  <c r="C10" i="6"/>
  <c r="J3" i="5"/>
  <c r="I6" i="5"/>
  <c r="K13" i="1"/>
  <c r="I5" i="5"/>
  <c r="J6" i="5"/>
  <c r="K11" i="1"/>
  <c r="K10" i="1"/>
  <c r="J5" i="5"/>
  <c r="K35" i="1"/>
  <c r="I3" i="5"/>
  <c r="B4" i="3"/>
  <c r="B2" i="3"/>
  <c r="K2" i="1"/>
  <c r="B3" i="3"/>
  <c r="K6" i="5" a="1"/>
  <c r="K6" i="5" s="1"/>
  <c r="L4" i="5" a="1"/>
  <c r="L4" i="5" s="1"/>
  <c r="L3" i="5" a="1"/>
  <c r="L3" i="5" s="1"/>
  <c r="K5" i="5" a="1"/>
  <c r="K5" i="5" s="1"/>
  <c r="K3" i="5" a="1"/>
  <c r="K3" i="5" s="1"/>
  <c r="J4" i="5"/>
  <c r="L6" i="5" a="1"/>
  <c r="L6" i="5" s="1"/>
  <c r="L5" i="5" a="1"/>
  <c r="L5" i="5" s="1"/>
  <c r="I4" i="5"/>
  <c r="K4" i="5" a="1"/>
  <c r="K4" i="5" s="1"/>
  <c r="H9" i="5" l="1"/>
  <c r="E4" i="6" a="1"/>
  <c r="E4" i="6" s="1"/>
  <c r="B4" i="6"/>
  <c r="C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JDeyet</author>
  </authors>
  <commentList>
    <comment ref="L1" authorId="0" shapeId="0" xr:uid="{E4493332-2B5B-497E-9C16-12A40C15BD2A}">
      <text>
        <r>
          <rPr>
            <b/>
            <sz val="9"/>
            <color indexed="81"/>
            <rFont val="Tahoma"/>
            <family val="2"/>
          </rPr>
          <t>Costo estimado calculado como el 70% del precio unitario de venta.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<sst xmlns="http://schemas.openxmlformats.org/spreadsheetml/2006/main" count="1627" uniqueCount="81">
  <si>
    <t>País</t>
  </si>
  <si>
    <t>Categoría</t>
  </si>
  <si>
    <t>Producto</t>
  </si>
  <si>
    <t>Año</t>
  </si>
  <si>
    <t>Mes</t>
  </si>
  <si>
    <t>Cantidad Vendida</t>
  </si>
  <si>
    <t>Precio Unitario (USD)</t>
  </si>
  <si>
    <t>Venta Total (USD)</t>
  </si>
  <si>
    <t>Tipo de Cambio</t>
  </si>
  <si>
    <t>Venta Total (Q)</t>
  </si>
  <si>
    <t>El Salvador</t>
  </si>
  <si>
    <t>Electrónica</t>
  </si>
  <si>
    <t>Laptop</t>
  </si>
  <si>
    <t>Alimentos</t>
  </si>
  <si>
    <t>Azúcar</t>
  </si>
  <si>
    <t>Honduras</t>
  </si>
  <si>
    <t>Costa Rica</t>
  </si>
  <si>
    <t>Hogar</t>
  </si>
  <si>
    <t>Mesa</t>
  </si>
  <si>
    <t>Colchón</t>
  </si>
  <si>
    <t>Guatemala</t>
  </si>
  <si>
    <t>Ropa</t>
  </si>
  <si>
    <t>Pantalón</t>
  </si>
  <si>
    <t>Monitor</t>
  </si>
  <si>
    <t>Zapatos</t>
  </si>
  <si>
    <t>Auriculares</t>
  </si>
  <si>
    <t>Lámpara</t>
  </si>
  <si>
    <t>Cereal</t>
  </si>
  <si>
    <t>Deportes</t>
  </si>
  <si>
    <t>Cuerda</t>
  </si>
  <si>
    <t>Café</t>
  </si>
  <si>
    <t>Panamá</t>
  </si>
  <si>
    <t>Camisa</t>
  </si>
  <si>
    <t>Silla</t>
  </si>
  <si>
    <t>Chaqueta</t>
  </si>
  <si>
    <t>Nicaragua</t>
  </si>
  <si>
    <t>Aceite</t>
  </si>
  <si>
    <t>Smartphone</t>
  </si>
  <si>
    <t>Guantes</t>
  </si>
  <si>
    <t>Balón</t>
  </si>
  <si>
    <t>Bicicleta</t>
  </si>
  <si>
    <t>Análisis de Ventas Centroamérica</t>
  </si>
  <si>
    <t>Resumen de KPIs</t>
  </si>
  <si>
    <t>Tabla dinámica por país y año</t>
  </si>
  <si>
    <t>Gráfico de evolución mensual</t>
  </si>
  <si>
    <t>KPI</t>
  </si>
  <si>
    <t>Valor</t>
  </si>
  <si>
    <t>Total Ventas en USD</t>
  </si>
  <si>
    <t>Total Ventas en Quetzales</t>
  </si>
  <si>
    <t>Ticket promedio (USD)</t>
  </si>
  <si>
    <t>Producto más vendido</t>
  </si>
  <si>
    <t>Cantidad total de productos vendidos</t>
  </si>
  <si>
    <t>Etiquetas de fila</t>
  </si>
  <si>
    <t>Total general</t>
  </si>
  <si>
    <t>Etiquetas de columna</t>
  </si>
  <si>
    <t>Suma de Venta Total (Q)</t>
  </si>
  <si>
    <t>Con ventas</t>
  </si>
  <si>
    <t>Estado de Venta</t>
  </si>
  <si>
    <t>Promedio Mensual</t>
  </si>
  <si>
    <t>Mes con más ventas</t>
  </si>
  <si>
    <t>Venta + alta</t>
  </si>
  <si>
    <t>Costo Total (USD)</t>
  </si>
  <si>
    <t>Utilidad Bruta (USD)</t>
  </si>
  <si>
    <t>Costo Uunitario</t>
  </si>
  <si>
    <t>Seleccione un país</t>
  </si>
  <si>
    <t>Productos Únicos</t>
  </si>
  <si>
    <t># de productos</t>
  </si>
  <si>
    <t>Países</t>
  </si>
  <si>
    <t>Sumatoria Q</t>
  </si>
  <si>
    <t>Unidades</t>
  </si>
  <si>
    <t>Top 5 Productos más vendidos de</t>
  </si>
  <si>
    <t>Regresar</t>
  </si>
  <si>
    <t>Ventas en Quetzales</t>
  </si>
  <si>
    <t>Total Ventas</t>
  </si>
  <si>
    <t>Estadísticas por País y productos</t>
  </si>
  <si>
    <t>Matriz de datos</t>
  </si>
  <si>
    <t>Interpretación Automática</t>
  </si>
  <si>
    <t>Programación con Macros</t>
  </si>
  <si>
    <t>Seleccione País</t>
  </si>
  <si>
    <t>Seleccione año</t>
  </si>
  <si>
    <t>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</si>
</sst>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Q&quot;#,##0.00"/>
    <numFmt numFmtId="165" formatCode="[$$-409]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8E6FA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4" fillId="2" borderId="0" xfId="1" applyFill="1" applyAlignment="1">
      <alignment horizontal="left"/>
    </xf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top"/>
    </xf>
    <xf numFmtId="0" fontId="7" fillId="4" borderId="1" xfId="0" applyFont="1" applyFill="1" applyBorder="1"/>
    <xf numFmtId="0" fontId="6" fillId="4" borderId="0" xfId="0" applyFont="1" applyFill="1"/>
    <xf numFmtId="0" fontId="6" fillId="4" borderId="1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6" fillId="4" borderId="0" xfId="0" applyFont="1" applyFill="1" applyAlignment="1">
      <alignment horizontal="right"/>
    </xf>
    <xf numFmtId="0" fontId="4" fillId="0" borderId="0" xfId="1" applyAlignment="1">
      <alignment horizontal="center"/>
    </xf>
    <xf numFmtId="0" fontId="0" fillId="0" borderId="1" xfId="0" applyBorder="1" applyAlignment="1">
      <alignment horizontal="right"/>
    </xf>
    <xf numFmtId="165" fontId="0" fillId="0" borderId="1" xfId="0" applyNumberFormat="1" applyBorder="1"/>
    <xf numFmtId="0" fontId="3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165" fontId="0" fillId="0" borderId="0" xfId="0" applyNumberFormat="1"/>
    <xf numFmtId="4" fontId="0" fillId="0" borderId="0" xfId="0" applyNumberFormat="1"/>
    <xf numFmtId="0" fontId="9" fillId="0" borderId="0" xfId="1" applyFont="1"/>
    <xf numFmtId="0" fontId="1" fillId="0" borderId="0" xfId="0" applyFont="1"/>
    <xf numFmtId="0" fontId="2" fillId="0" borderId="0" xfId="0" applyFont="1"/>
    <xf numFmtId="0" fontId="1" fillId="3" borderId="1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0" fillId="0" borderId="3" xfId="0" applyFill="1" applyBorder="1"/>
    <xf numFmtId="164" fontId="0" fillId="0" borderId="3" xfId="0" applyNumberFormat="1" applyFill="1" applyBorder="1"/>
    <xf numFmtId="0" fontId="0" fillId="6" borderId="1" xfId="0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 applyFill="1" applyBorder="1"/>
    <xf numFmtId="0" fontId="0" fillId="0" borderId="0" xfId="0" applyBorder="1"/>
  </cellXfs>
  <cellStyles count="2">
    <cellStyle name="Hipervínculo" xfId="1" builtinId="8"/>
    <cellStyle name="Normal" xfId="0" builtinId="0"/>
  </cellStyles>
  <dxfs count="13">
    <dxf>
      <numFmt numFmtId="164" formatCode="&quot;Q&quot;#,##0.00"/>
    </dxf>
    <dxf>
      <numFmt numFmtId="164" formatCode="&quot;Q&quot;#,##0.00"/>
    </dxf>
    <dxf>
      <numFmt numFmtId="164" formatCode="&quot;Q&quot;#,##0.00"/>
    </dxf>
    <dxf>
      <numFmt numFmtId="2" formatCode="0.00"/>
    </dxf>
    <dxf>
      <numFmt numFmtId="165" formatCode="[$$-409]#,##0.00"/>
    </dxf>
    <dxf>
      <numFmt numFmtId="165" formatCode="[$$-409]#,##0.00"/>
    </dxf>
    <dxf>
      <numFmt numFmtId="165" formatCode="[$$-409]#,##0.00"/>
    </dxf>
    <dxf>
      <numFmt numFmtId="0" formatCode="General"/>
    </dxf>
    <dxf>
      <numFmt numFmtId="164" formatCode="&quot;Q&quot;#,##0.00"/>
    </dxf>
    <dxf>
      <numFmt numFmtId="4" formatCode="#,##0.00"/>
    </dxf>
    <dxf>
      <numFmt numFmtId="165" formatCode="[$$-409]#,##0.00"/>
    </dxf>
    <dxf>
      <numFmt numFmtId="165" formatCode="[$$-409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[Ventas_Centroamerica_Portafolio.xlsm]Grafico_Mensual!TablaDinámica2</c:name>
    <c:fmtId val="0"/>
  </c:pivotSource>
  <c:chart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Grafico_Mensual!$B$3:$B$4</c:f>
              <c:strCache>
                <c:ptCount val="1"/>
                <c:pt idx="0">
                  <c:v>2022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Grafico_Mensual!$A$5:$A$17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Grafico_Mensual!$B$5:$B$17</c:f>
              <c:numCache>
                <c:formatCode>"Q"#,##0.00</c:formatCode>
                <c:ptCount val="12"/>
                <c:pt idx="0">
                  <c:v>185917.43</c:v>
                </c:pt>
                <c:pt idx="1">
                  <c:v>230456.91</c:v>
                </c:pt>
                <c:pt idx="2">
                  <c:v>98908.180000000008</c:v>
                </c:pt>
                <c:pt idx="3">
                  <c:v>67800.08</c:v>
                </c:pt>
                <c:pt idx="4">
                  <c:v>186018.85</c:v>
                </c:pt>
                <c:pt idx="5">
                  <c:v>213081.65</c:v>
                </c:pt>
                <c:pt idx="6">
                  <c:v>194212.23</c:v>
                </c:pt>
                <c:pt idx="7">
                  <c:v>329099.48</c:v>
                </c:pt>
                <c:pt idx="8">
                  <c:v>262233.84999999998</c:v>
                </c:pt>
                <c:pt idx="9">
                  <c:v>145211.89999999997</c:v>
                </c:pt>
                <c:pt idx="10">
                  <c:v>211237.71</c:v>
                </c:pt>
                <c:pt idx="11">
                  <c:v>380814.73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8-42C7-B63F-424C385A2690}"/>
            </c:ext>
          </c:extLst>
        </c:ser>
        <c:ser>
          <c:idx val="1"/>
          <c:order val="1"/>
          <c:tx>
            <c:strRef>
              <c:f>Grafico_Mensual!$C$3:$C$4</c:f>
              <c:strCache>
                <c:ptCount val="1"/>
                <c:pt idx="0">
                  <c:v>2023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Grafico_Mensual!$A$5:$A$17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Grafico_Mensual!$C$5:$C$17</c:f>
              <c:numCache>
                <c:formatCode>"Q"#,##0.00</c:formatCode>
                <c:ptCount val="12"/>
                <c:pt idx="0">
                  <c:v>197525.17000000004</c:v>
                </c:pt>
                <c:pt idx="1">
                  <c:v>165512.96999999997</c:v>
                </c:pt>
                <c:pt idx="2">
                  <c:v>198666.89</c:v>
                </c:pt>
                <c:pt idx="3">
                  <c:v>269366.5</c:v>
                </c:pt>
                <c:pt idx="4">
                  <c:v>218232.52999999997</c:v>
                </c:pt>
                <c:pt idx="5">
                  <c:v>277656.21000000008</c:v>
                </c:pt>
                <c:pt idx="6">
                  <c:v>225346.68</c:v>
                </c:pt>
                <c:pt idx="7">
                  <c:v>222786.01</c:v>
                </c:pt>
                <c:pt idx="8">
                  <c:v>253012.71000000002</c:v>
                </c:pt>
                <c:pt idx="9">
                  <c:v>370992.41000000003</c:v>
                </c:pt>
                <c:pt idx="10">
                  <c:v>216890.85000000003</c:v>
                </c:pt>
                <c:pt idx="11">
                  <c:v>204686.47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28-42C7-B63F-424C385A2690}"/>
            </c:ext>
          </c:extLst>
        </c:ser>
        <c:ser>
          <c:idx val="2"/>
          <c:order val="2"/>
          <c:tx>
            <c:strRef>
              <c:f>Grafico_Mensual!$D$3:$D$4</c:f>
              <c:strCache>
                <c:ptCount val="1"/>
                <c:pt idx="0">
                  <c:v>2024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Grafico_Mensual!$A$5:$A$17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Grafico_Mensual!$D$5:$D$17</c:f>
              <c:numCache>
                <c:formatCode>"Q"#,##0.00</c:formatCode>
                <c:ptCount val="12"/>
                <c:pt idx="0">
                  <c:v>178914.78000000003</c:v>
                </c:pt>
                <c:pt idx="1">
                  <c:v>98526.9</c:v>
                </c:pt>
                <c:pt idx="2">
                  <c:v>234298.52</c:v>
                </c:pt>
                <c:pt idx="3">
                  <c:v>192798.27000000002</c:v>
                </c:pt>
                <c:pt idx="4">
                  <c:v>159082.67000000001</c:v>
                </c:pt>
                <c:pt idx="5">
                  <c:v>317380.49999999994</c:v>
                </c:pt>
                <c:pt idx="6">
                  <c:v>266379.86</c:v>
                </c:pt>
                <c:pt idx="7">
                  <c:v>228957.71999999997</c:v>
                </c:pt>
                <c:pt idx="8">
                  <c:v>251905.06</c:v>
                </c:pt>
                <c:pt idx="9">
                  <c:v>206110.05000000002</c:v>
                </c:pt>
                <c:pt idx="10">
                  <c:v>147230.03</c:v>
                </c:pt>
                <c:pt idx="11">
                  <c:v>187069.77000000002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28-42C7-B63F-424C385A2690}"/>
            </c:ext>
          </c:extLst>
        </c:ser>
        <c:ser>
          <c:idx val="3"/>
          <c:order val="3"/>
          <c:tx>
            <c:strRef>
              <c:f>Grafico_Mensual!$E$3:$E$4</c:f>
              <c:strCache>
                <c:ptCount val="1"/>
                <c:pt idx="0">
                  <c:v>2025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Grafico_Mensual!$A$5:$A$17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Grafico_Mensual!$E$5:$E$17</c:f>
              <c:numCache>
                <c:formatCode>"Q"#,##0.00</c:formatCode>
                <c:ptCount val="12"/>
                <c:pt idx="0">
                  <c:v>137478.28999999998</c:v>
                </c:pt>
                <c:pt idx="1">
                  <c:v>288885.32</c:v>
                </c:pt>
                <c:pt idx="2">
                  <c:v>191825.25</c:v>
                </c:pt>
                <c:pt idx="3">
                  <c:v>45055.19</c:v>
                </c:pt>
                <c:pt idx="4">
                  <c:v>221065.04</c:v>
                </c:pt>
                <c:pt idx="5">
                  <c:v>297040.40999999997</c:v>
                </c:pt>
                <c:pt idx="6">
                  <c:v>256462.49000000002</c:v>
                </c:pt>
                <c:pt idx="7">
                  <c:v>99576.36</c:v>
                </c:pt>
                <c:pt idx="8">
                  <c:v>486215.94000000006</c:v>
                </c:pt>
                <c:pt idx="9">
                  <c:v>219270.34999999998</c:v>
                </c:pt>
                <c:pt idx="10">
                  <c:v>253960.12</c:v>
                </c:pt>
                <c:pt idx="11">
                  <c:v>363318.33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28-42C7-B63F-424C385A2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11343"/>
        <c:axId val="117500783"/>
      </c:lineChart>
      <c:catAx>
        <c:axId val="11751134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17500783"/>
        <c:crosses val="autoZero"/>
        <c:auto val="1"/>
        <c:lblAlgn val="ctr"/>
        <c:lblOffset val="100"/>
        <c:noMultiLvlLbl val="0"/>
      </c:catAx>
      <c:valAx>
        <c:axId val="11750078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Q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1751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18</xdr:row>
      <xdr:rowOff>1</xdr:rowOff>
    </xdr:from>
    <xdr:to>
      <xdr:col>3</xdr:col>
      <xdr:colOff>371474</xdr:colOff>
      <xdr:row>22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aís">
              <a:extLst>
                <a:ext uri="{FF2B5EF4-FFF2-40B4-BE49-F238E27FC236}">
                  <a16:creationId xmlns:a16="http://schemas.microsoft.com/office/drawing/2014/main" id="{033BFB4B-5606-C8B7-580C-587BCBD64A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1"/>
              <a:ext cx="3629025" cy="933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GT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733425</xdr:colOff>
      <xdr:row>10</xdr:row>
      <xdr:rowOff>147636</xdr:rowOff>
    </xdr:from>
    <xdr:to>
      <xdr:col>17</xdr:col>
      <xdr:colOff>542925</xdr:colOff>
      <xdr:row>35</xdr:row>
      <xdr:rowOff>133349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C50134-93E9-B54E-A5FE-C24F3567C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19049</xdr:colOff>
      <xdr:row>24</xdr:row>
      <xdr:rowOff>9526</xdr:rowOff>
    </xdr:from>
    <xdr:to>
      <xdr:col>3</xdr:col>
      <xdr:colOff>361949</xdr:colOff>
      <xdr:row>27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">
              <a:extLst>
                <a:ext uri="{FF2B5EF4-FFF2-40B4-BE49-F238E27FC236}">
                  <a16:creationId xmlns:a16="http://schemas.microsoft.com/office/drawing/2014/main" id="{ADA948C3-8A72-5766-CE00-EA04BF65C3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" y="4581526"/>
              <a:ext cx="3609975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GT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152400</xdr:rowOff>
    </xdr:from>
    <xdr:to>
      <xdr:col>9</xdr:col>
      <xdr:colOff>304800</xdr:colOff>
      <xdr:row>9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ía">
              <a:extLst>
                <a:ext uri="{FF2B5EF4-FFF2-40B4-BE49-F238E27FC236}">
                  <a16:creationId xmlns:a16="http://schemas.microsoft.com/office/drawing/2014/main" id="{4C3FF1BB-2669-6F67-A837-906E97377F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3675" y="152400"/>
              <a:ext cx="1828800" cy="1743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GT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0</xdr:colOff>
      <xdr:row>10</xdr:row>
      <xdr:rowOff>76200</xdr:rowOff>
    </xdr:from>
    <xdr:to>
      <xdr:col>9</xdr:col>
      <xdr:colOff>304800</xdr:colOff>
      <xdr:row>29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es">
              <a:extLst>
                <a:ext uri="{FF2B5EF4-FFF2-40B4-BE49-F238E27FC236}">
                  <a16:creationId xmlns:a16="http://schemas.microsoft.com/office/drawing/2014/main" id="{FAC8B686-FD75-48D3-FA1A-4A90FB17A8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3675" y="19812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GT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761999</xdr:colOff>
          <xdr:row>0</xdr:row>
          <xdr:rowOff>38100</xdr:rowOff>
        </xdr:from>
        <xdr:to>
          <xdr:col>4</xdr:col>
          <xdr:colOff>333374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28575</xdr:rowOff>
        </xdr:from>
        <xdr:to>
          <xdr:col>4</xdr:col>
          <xdr:colOff>314325</xdr:colOff>
          <xdr:row>3</xdr:row>
          <xdr:rowOff>123825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a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2</xdr:row>
          <xdr:rowOff>95250</xdr:rowOff>
        </xdr:from>
        <xdr:to>
          <xdr:col>5</xdr:col>
          <xdr:colOff>704850</xdr:colOff>
          <xdr:row>3</xdr:row>
          <xdr:rowOff>152400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Deyet" refreshedDate="45827.697029282404" createdVersion="8" refreshedVersion="8" minRefreshableVersion="3" recordCount="500" xr:uid="{BADB37D1-8D2D-4770-ACB9-20F8B1302E8C}">
  <cacheSource type="worksheet">
    <worksheetSource ref="A1:K501" sheet="Matriz"/>
  </cacheSource>
  <cacheFields count="11">
    <cacheField name="País" numFmtId="0">
      <sharedItems count="6">
        <s v="El Salvador"/>
        <s v="Honduras"/>
        <s v="Costa Rica"/>
        <s v="Guatemala"/>
        <s v="Panamá"/>
        <s v="Nicaragua"/>
      </sharedItems>
    </cacheField>
    <cacheField name="Categoría" numFmtId="0">
      <sharedItems count="5">
        <s v="Electrónica"/>
        <s v="Alimentos"/>
        <s v="Hogar"/>
        <s v="Ropa"/>
        <s v="Deportes"/>
      </sharedItems>
    </cacheField>
    <cacheField name="Producto" numFmtId="0">
      <sharedItems/>
    </cacheField>
    <cacheField name="Año" numFmtId="0">
      <sharedItems containsSemiMixedTypes="0" containsString="0" containsNumber="1" containsInteger="1" minValue="2022" maxValue="2025" count="4">
        <n v="2023"/>
        <n v="2022"/>
        <n v="2025"/>
        <n v="2024"/>
      </sharedItems>
    </cacheField>
    <cacheField name="Mes" numFmtId="0">
      <sharedItems containsSemiMixedTypes="0" containsString="0" containsNumber="1" containsInteger="1" minValue="1" maxValue="12" count="12">
        <n v="4"/>
        <n v="6"/>
        <n v="7"/>
        <n v="10"/>
        <n v="2"/>
        <n v="9"/>
        <n v="8"/>
        <n v="11"/>
        <n v="1"/>
        <n v="12"/>
        <n v="3"/>
        <n v="5"/>
      </sharedItems>
    </cacheField>
    <cacheField name="Cantidad Vendida" numFmtId="0">
      <sharedItems containsSemiMixedTypes="0" containsString="0" containsNumber="1" containsInteger="1" minValue="0" maxValue="20"/>
    </cacheField>
    <cacheField name="Precio Unitario (USD)" numFmtId="0">
      <sharedItems containsSemiMixedTypes="0" containsString="0" containsNumber="1" minValue="11.25" maxValue="498.01"/>
    </cacheField>
    <cacheField name="Venta Total (USD)" numFmtId="0">
      <sharedItems containsSemiMixedTypes="0" containsString="0" containsNumber="1" minValue="0" maxValue="9347.43"/>
    </cacheField>
    <cacheField name="Tipo de Cambio" numFmtId="0">
      <sharedItems containsSemiMixedTypes="0" containsString="0" containsNumber="1" minValue="7.5" maxValue="8.5"/>
    </cacheField>
    <cacheField name="Venta Total (Q)" numFmtId="0">
      <sharedItems containsSemiMixedTypes="0" containsString="0" containsNumber="1" minValue="0" maxValue="73882.52"/>
    </cacheField>
    <cacheField name="Estado de Venta" numFmtId="0">
      <sharedItems count="2">
        <s v="Sin ventas"/>
        <s v="Con ventas"/>
      </sharedItems>
    </cacheField>
  </cacheFields>
  <extLst>
    <ext xmlns:x14="http://schemas.microsoft.com/office/spreadsheetml/2009/9/main" uri="{725AE2AE-9491-48be-B2B4-4EB974FC3084}">
      <x14:pivotCacheDefinition pivotCacheId="15923486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Deyet" refreshedDate="45827.699325694448" createdVersion="8" refreshedVersion="8" minRefreshableVersion="3" recordCount="500" xr:uid="{FB6C1D27-1777-4401-BE22-A5AD6E4E71F0}">
  <cacheSource type="worksheet">
    <worksheetSource name="Tabla1"/>
  </cacheSource>
  <cacheFields count="11">
    <cacheField name="País" numFmtId="0">
      <sharedItems count="6">
        <s v="El Salvador"/>
        <s v="Honduras"/>
        <s v="Costa Rica"/>
        <s v="Guatemala"/>
        <s v="Panamá"/>
        <s v="Nicaragua"/>
      </sharedItems>
    </cacheField>
    <cacheField name="Categoría" numFmtId="0">
      <sharedItems/>
    </cacheField>
    <cacheField name="Producto" numFmtId="0">
      <sharedItems/>
    </cacheField>
    <cacheField name="Año" numFmtId="0">
      <sharedItems containsSemiMixedTypes="0" containsString="0" containsNumber="1" containsInteger="1" minValue="2022" maxValue="2025" count="4">
        <n v="2023"/>
        <n v="2022"/>
        <n v="2025"/>
        <n v="2024"/>
      </sharedItems>
    </cacheField>
    <cacheField name="Mes" numFmtId="0">
      <sharedItems containsSemiMixedTypes="0" containsString="0" containsNumber="1" containsInteger="1" minValue="1" maxValue="12" count="12">
        <n v="4"/>
        <n v="6"/>
        <n v="7"/>
        <n v="10"/>
        <n v="2"/>
        <n v="9"/>
        <n v="8"/>
        <n v="11"/>
        <n v="1"/>
        <n v="12"/>
        <n v="3"/>
        <n v="5"/>
      </sharedItems>
    </cacheField>
    <cacheField name="Cantidad Vendida" numFmtId="0">
      <sharedItems containsSemiMixedTypes="0" containsString="0" containsNumber="1" containsInteger="1" minValue="0" maxValue="20"/>
    </cacheField>
    <cacheField name="Precio Unitario (USD)" numFmtId="0">
      <sharedItems containsSemiMixedTypes="0" containsString="0" containsNumber="1" minValue="11.25" maxValue="498.01"/>
    </cacheField>
    <cacheField name="Venta Total (USD)" numFmtId="0">
      <sharedItems containsSemiMixedTypes="0" containsString="0" containsNumber="1" minValue="0" maxValue="9347.43"/>
    </cacheField>
    <cacheField name="Tipo de Cambio" numFmtId="0">
      <sharedItems containsSemiMixedTypes="0" containsString="0" containsNumber="1" minValue="7.5" maxValue="8.5"/>
    </cacheField>
    <cacheField name="Venta Total (Q)" numFmtId="0">
      <sharedItems containsSemiMixedTypes="0" containsString="0" containsNumber="1" minValue="0" maxValue="73882.52"/>
    </cacheField>
    <cacheField name="Estado de Venta" numFmtId="0">
      <sharedItems/>
    </cacheField>
  </cacheFields>
  <extLst>
    <ext xmlns:x14="http://schemas.microsoft.com/office/spreadsheetml/2009/9/main" uri="{725AE2AE-9491-48be-B2B4-4EB974FC3084}">
      <x14:pivotCacheDefinition pivotCacheId="150495966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s v="Laptop"/>
    <x v="0"/>
    <x v="0"/>
    <n v="0"/>
    <n v="36.92"/>
    <n v="0"/>
    <n v="8.3000000000000007"/>
    <n v="0"/>
    <x v="0"/>
  </r>
  <r>
    <x v="0"/>
    <x v="1"/>
    <s v="Azúcar"/>
    <x v="1"/>
    <x v="1"/>
    <n v="15"/>
    <n v="357.02"/>
    <n v="5355.3"/>
    <n v="7.78"/>
    <n v="41664.230000000003"/>
    <x v="1"/>
  </r>
  <r>
    <x v="1"/>
    <x v="1"/>
    <s v="Azúcar"/>
    <x v="0"/>
    <x v="1"/>
    <n v="11"/>
    <n v="119.46"/>
    <n v="1314.06"/>
    <n v="8.42"/>
    <n v="11064.39"/>
    <x v="1"/>
  </r>
  <r>
    <x v="2"/>
    <x v="2"/>
    <s v="Mesa"/>
    <x v="2"/>
    <x v="2"/>
    <n v="16"/>
    <n v="48.69"/>
    <n v="779.04"/>
    <n v="8.06"/>
    <n v="6279.06"/>
    <x v="1"/>
  </r>
  <r>
    <x v="1"/>
    <x v="2"/>
    <s v="Colchón"/>
    <x v="2"/>
    <x v="2"/>
    <n v="3"/>
    <n v="250.23"/>
    <n v="750.69"/>
    <n v="8.4499999999999993"/>
    <n v="6343.33"/>
    <x v="1"/>
  </r>
  <r>
    <x v="3"/>
    <x v="3"/>
    <s v="Pantalón"/>
    <x v="0"/>
    <x v="3"/>
    <n v="1"/>
    <n v="150.44"/>
    <n v="150.44"/>
    <n v="7.99"/>
    <n v="1202.02"/>
    <x v="1"/>
  </r>
  <r>
    <x v="3"/>
    <x v="0"/>
    <s v="Monitor"/>
    <x v="1"/>
    <x v="4"/>
    <n v="15"/>
    <n v="365.52"/>
    <n v="5482.8"/>
    <n v="8.42"/>
    <n v="46165.18"/>
    <x v="1"/>
  </r>
  <r>
    <x v="1"/>
    <x v="2"/>
    <s v="Mesa"/>
    <x v="0"/>
    <x v="5"/>
    <n v="17"/>
    <n v="183.36"/>
    <n v="3117.12"/>
    <n v="7.74"/>
    <n v="24126.51"/>
    <x v="1"/>
  </r>
  <r>
    <x v="1"/>
    <x v="3"/>
    <s v="Zapatos"/>
    <x v="2"/>
    <x v="6"/>
    <n v="11"/>
    <n v="436.39"/>
    <n v="4800.29"/>
    <n v="8.2799999999999994"/>
    <n v="39746.400000000001"/>
    <x v="1"/>
  </r>
  <r>
    <x v="1"/>
    <x v="2"/>
    <s v="Mesa"/>
    <x v="1"/>
    <x v="7"/>
    <n v="16"/>
    <n v="201"/>
    <n v="3216"/>
    <n v="7.52"/>
    <n v="24184.32"/>
    <x v="1"/>
  </r>
  <r>
    <x v="1"/>
    <x v="0"/>
    <s v="Auriculares"/>
    <x v="1"/>
    <x v="8"/>
    <n v="15"/>
    <n v="448.03"/>
    <n v="6720.45"/>
    <n v="8.44"/>
    <n v="56720.6"/>
    <x v="1"/>
  </r>
  <r>
    <x v="0"/>
    <x v="2"/>
    <s v="Lámpara"/>
    <x v="2"/>
    <x v="8"/>
    <n v="17"/>
    <n v="40.24"/>
    <n v="684.08"/>
    <n v="8.34"/>
    <n v="5705.23"/>
    <x v="1"/>
  </r>
  <r>
    <x v="2"/>
    <x v="2"/>
    <s v="Mesa"/>
    <x v="2"/>
    <x v="9"/>
    <n v="9"/>
    <n v="342.35"/>
    <n v="3081.15"/>
    <n v="8.11"/>
    <n v="24988.13"/>
    <x v="1"/>
  </r>
  <r>
    <x v="3"/>
    <x v="1"/>
    <s v="Cereal"/>
    <x v="2"/>
    <x v="1"/>
    <n v="2"/>
    <n v="313.08999999999997"/>
    <n v="626.17999999999995"/>
    <n v="8.2100000000000009"/>
    <n v="5140.9399999999996"/>
    <x v="1"/>
  </r>
  <r>
    <x v="2"/>
    <x v="2"/>
    <s v="Colchón"/>
    <x v="1"/>
    <x v="2"/>
    <n v="13"/>
    <n v="17.37"/>
    <n v="225.81"/>
    <n v="8.17"/>
    <n v="1844.87"/>
    <x v="1"/>
  </r>
  <r>
    <x v="1"/>
    <x v="4"/>
    <s v="Cuerda"/>
    <x v="1"/>
    <x v="10"/>
    <n v="9"/>
    <n v="132.22"/>
    <n v="1189.98"/>
    <n v="8.49"/>
    <n v="10102.93"/>
    <x v="1"/>
  </r>
  <r>
    <x v="1"/>
    <x v="1"/>
    <s v="Azúcar"/>
    <x v="3"/>
    <x v="6"/>
    <n v="11"/>
    <n v="11.25"/>
    <n v="123.75"/>
    <n v="7.86"/>
    <n v="972.68"/>
    <x v="1"/>
  </r>
  <r>
    <x v="0"/>
    <x v="1"/>
    <s v="Café"/>
    <x v="0"/>
    <x v="7"/>
    <n v="17"/>
    <n v="367.14"/>
    <n v="6241.38"/>
    <n v="7.61"/>
    <n v="47496.9"/>
    <x v="1"/>
  </r>
  <r>
    <x v="4"/>
    <x v="4"/>
    <s v="Cuerda"/>
    <x v="3"/>
    <x v="10"/>
    <n v="11"/>
    <n v="58.12"/>
    <n v="639.32000000000005"/>
    <n v="7.84"/>
    <n v="5012.2700000000004"/>
    <x v="1"/>
  </r>
  <r>
    <x v="4"/>
    <x v="4"/>
    <s v="Cuerda"/>
    <x v="1"/>
    <x v="2"/>
    <n v="19"/>
    <n v="12.24"/>
    <n v="232.56"/>
    <n v="8.2799999999999994"/>
    <n v="1925.6"/>
    <x v="1"/>
  </r>
  <r>
    <x v="0"/>
    <x v="2"/>
    <s v="Mesa"/>
    <x v="0"/>
    <x v="3"/>
    <n v="18"/>
    <n v="279.51"/>
    <n v="5031.18"/>
    <n v="8.25"/>
    <n v="41507.24"/>
    <x v="1"/>
  </r>
  <r>
    <x v="1"/>
    <x v="2"/>
    <s v="Mesa"/>
    <x v="1"/>
    <x v="5"/>
    <n v="15"/>
    <n v="297.70999999999998"/>
    <n v="4465.6499999999996"/>
    <n v="8.33"/>
    <n v="37198.86"/>
    <x v="1"/>
  </r>
  <r>
    <x v="4"/>
    <x v="1"/>
    <s v="Cereal"/>
    <x v="2"/>
    <x v="8"/>
    <n v="9"/>
    <n v="175.15"/>
    <n v="1576.35"/>
    <n v="8.26"/>
    <n v="13020.65"/>
    <x v="1"/>
  </r>
  <r>
    <x v="1"/>
    <x v="3"/>
    <s v="Camisa"/>
    <x v="2"/>
    <x v="9"/>
    <n v="19"/>
    <n v="394.11"/>
    <n v="7488.09"/>
    <n v="7.6"/>
    <n v="56909.48"/>
    <x v="1"/>
  </r>
  <r>
    <x v="4"/>
    <x v="1"/>
    <s v="Azúcar"/>
    <x v="1"/>
    <x v="9"/>
    <n v="15"/>
    <n v="272.3"/>
    <n v="4084.5"/>
    <n v="8.3800000000000008"/>
    <n v="34228.11"/>
    <x v="1"/>
  </r>
  <r>
    <x v="0"/>
    <x v="1"/>
    <s v="Azúcar"/>
    <x v="1"/>
    <x v="1"/>
    <n v="14"/>
    <n v="120.77"/>
    <n v="1690.78"/>
    <n v="8.24"/>
    <n v="13932.03"/>
    <x v="1"/>
  </r>
  <r>
    <x v="0"/>
    <x v="1"/>
    <s v="Azúcar"/>
    <x v="0"/>
    <x v="6"/>
    <n v="16"/>
    <n v="460.57"/>
    <n v="7369.12"/>
    <n v="7.97"/>
    <n v="58731.89"/>
    <x v="1"/>
  </r>
  <r>
    <x v="0"/>
    <x v="2"/>
    <s v="Silla"/>
    <x v="2"/>
    <x v="11"/>
    <n v="15"/>
    <n v="488.45"/>
    <n v="7326.75"/>
    <n v="7.75"/>
    <n v="56782.31"/>
    <x v="1"/>
  </r>
  <r>
    <x v="3"/>
    <x v="2"/>
    <s v="Colchón"/>
    <x v="2"/>
    <x v="7"/>
    <n v="6"/>
    <n v="26.7"/>
    <n v="160.19999999999999"/>
    <n v="8.08"/>
    <n v="1294.42"/>
    <x v="1"/>
  </r>
  <r>
    <x v="3"/>
    <x v="4"/>
    <s v="Cuerda"/>
    <x v="2"/>
    <x v="8"/>
    <n v="11"/>
    <n v="231.01"/>
    <n v="2541.11"/>
    <n v="7.96"/>
    <n v="20227.240000000002"/>
    <x v="1"/>
  </r>
  <r>
    <x v="1"/>
    <x v="2"/>
    <s v="Lámpara"/>
    <x v="2"/>
    <x v="2"/>
    <n v="17"/>
    <n v="381.79"/>
    <n v="6490.43"/>
    <n v="7.67"/>
    <n v="49781.599999999999"/>
    <x v="1"/>
  </r>
  <r>
    <x v="1"/>
    <x v="2"/>
    <s v="Lámpara"/>
    <x v="3"/>
    <x v="9"/>
    <n v="19"/>
    <n v="239.54"/>
    <n v="4551.26"/>
    <n v="7.58"/>
    <n v="34498.550000000003"/>
    <x v="1"/>
  </r>
  <r>
    <x v="0"/>
    <x v="3"/>
    <s v="Chaqueta"/>
    <x v="1"/>
    <x v="9"/>
    <n v="13"/>
    <n v="344.35"/>
    <n v="4476.55"/>
    <n v="7.82"/>
    <n v="35006.620000000003"/>
    <x v="1"/>
  </r>
  <r>
    <x v="5"/>
    <x v="1"/>
    <s v="Azúcar"/>
    <x v="3"/>
    <x v="2"/>
    <n v="4"/>
    <n v="158.94999999999999"/>
    <n v="635.79999999999995"/>
    <n v="8.19"/>
    <n v="5207.2"/>
    <x v="1"/>
  </r>
  <r>
    <x v="0"/>
    <x v="1"/>
    <s v="Azúcar"/>
    <x v="3"/>
    <x v="11"/>
    <n v="5"/>
    <n v="230.11"/>
    <n v="1150.55"/>
    <n v="8.01"/>
    <n v="9215.91"/>
    <x v="1"/>
  </r>
  <r>
    <x v="0"/>
    <x v="2"/>
    <s v="Silla"/>
    <x v="0"/>
    <x v="0"/>
    <n v="13"/>
    <n v="490.36"/>
    <n v="6374.68"/>
    <n v="7.72"/>
    <n v="49212.53"/>
    <x v="1"/>
  </r>
  <r>
    <x v="1"/>
    <x v="2"/>
    <s v="Lámpara"/>
    <x v="2"/>
    <x v="9"/>
    <n v="16"/>
    <n v="389.11"/>
    <n v="6225.76"/>
    <n v="7.82"/>
    <n v="48685.440000000002"/>
    <x v="1"/>
  </r>
  <r>
    <x v="5"/>
    <x v="1"/>
    <s v="Aceite"/>
    <x v="2"/>
    <x v="1"/>
    <n v="11"/>
    <n v="57.26"/>
    <n v="629.86"/>
    <n v="7.63"/>
    <n v="4805.83"/>
    <x v="1"/>
  </r>
  <r>
    <x v="0"/>
    <x v="3"/>
    <s v="Camisa"/>
    <x v="0"/>
    <x v="9"/>
    <n v="17"/>
    <n v="354.03"/>
    <n v="6018.51"/>
    <n v="7.76"/>
    <n v="46703.64"/>
    <x v="1"/>
  </r>
  <r>
    <x v="0"/>
    <x v="2"/>
    <s v="Colchón"/>
    <x v="2"/>
    <x v="10"/>
    <n v="8"/>
    <n v="422.47"/>
    <n v="3379.76"/>
    <n v="7.99"/>
    <n v="27004.28"/>
    <x v="1"/>
  </r>
  <r>
    <x v="1"/>
    <x v="3"/>
    <s v="Pantalón"/>
    <x v="3"/>
    <x v="3"/>
    <n v="4"/>
    <n v="407.54"/>
    <n v="1630.16"/>
    <n v="7.54"/>
    <n v="12291.41"/>
    <x v="1"/>
  </r>
  <r>
    <x v="3"/>
    <x v="3"/>
    <s v="Camisa"/>
    <x v="3"/>
    <x v="2"/>
    <n v="11"/>
    <n v="264.77"/>
    <n v="2912.47"/>
    <n v="8.09"/>
    <n v="23561.88"/>
    <x v="1"/>
  </r>
  <r>
    <x v="2"/>
    <x v="1"/>
    <s v="Aceite"/>
    <x v="3"/>
    <x v="2"/>
    <n v="18"/>
    <n v="466.34"/>
    <n v="8394.1200000000008"/>
    <n v="7.88"/>
    <n v="66145.67"/>
    <x v="1"/>
  </r>
  <r>
    <x v="3"/>
    <x v="2"/>
    <s v="Mesa"/>
    <x v="2"/>
    <x v="9"/>
    <n v="3"/>
    <n v="339.14"/>
    <n v="1017.42"/>
    <n v="7.67"/>
    <n v="7803.61"/>
    <x v="1"/>
  </r>
  <r>
    <x v="0"/>
    <x v="0"/>
    <s v="Laptop"/>
    <x v="1"/>
    <x v="8"/>
    <n v="13"/>
    <n v="375.32"/>
    <n v="4879.16"/>
    <n v="8.0399999999999991"/>
    <n v="39228.449999999997"/>
    <x v="1"/>
  </r>
  <r>
    <x v="5"/>
    <x v="1"/>
    <s v="Azúcar"/>
    <x v="0"/>
    <x v="5"/>
    <n v="12"/>
    <n v="454.24"/>
    <n v="5450.88"/>
    <n v="8.5"/>
    <n v="46332.480000000003"/>
    <x v="1"/>
  </r>
  <r>
    <x v="0"/>
    <x v="0"/>
    <s v="Auriculares"/>
    <x v="3"/>
    <x v="5"/>
    <n v="17"/>
    <n v="33.630000000000003"/>
    <n v="571.71"/>
    <n v="8"/>
    <n v="4573.68"/>
    <x v="1"/>
  </r>
  <r>
    <x v="0"/>
    <x v="0"/>
    <s v="Monitor"/>
    <x v="2"/>
    <x v="0"/>
    <n v="5"/>
    <n v="343.79"/>
    <n v="1718.95"/>
    <n v="8.01"/>
    <n v="13768.79"/>
    <x v="1"/>
  </r>
  <r>
    <x v="5"/>
    <x v="3"/>
    <s v="Pantalón"/>
    <x v="2"/>
    <x v="1"/>
    <n v="16"/>
    <n v="33.42"/>
    <n v="534.72"/>
    <n v="8.27"/>
    <n v="4422.13"/>
    <x v="1"/>
  </r>
  <r>
    <x v="2"/>
    <x v="3"/>
    <s v="Chaqueta"/>
    <x v="3"/>
    <x v="1"/>
    <n v="4"/>
    <n v="439.79"/>
    <n v="1759.16"/>
    <n v="8.4700000000000006"/>
    <n v="14900.09"/>
    <x v="1"/>
  </r>
  <r>
    <x v="2"/>
    <x v="0"/>
    <s v="Smartphone"/>
    <x v="3"/>
    <x v="6"/>
    <n v="5"/>
    <n v="378.6"/>
    <n v="1893"/>
    <n v="7.9"/>
    <n v="14954.7"/>
    <x v="1"/>
  </r>
  <r>
    <x v="4"/>
    <x v="0"/>
    <s v="Monitor"/>
    <x v="0"/>
    <x v="7"/>
    <n v="2"/>
    <n v="368.47"/>
    <n v="736.94"/>
    <n v="8.1199999999999992"/>
    <n v="5983.95"/>
    <x v="1"/>
  </r>
  <r>
    <x v="0"/>
    <x v="3"/>
    <s v="Pantalón"/>
    <x v="1"/>
    <x v="4"/>
    <n v="10"/>
    <n v="190.26"/>
    <n v="1902.6"/>
    <n v="7.69"/>
    <n v="14630.99"/>
    <x v="1"/>
  </r>
  <r>
    <x v="0"/>
    <x v="4"/>
    <s v="Guantes"/>
    <x v="2"/>
    <x v="10"/>
    <n v="19"/>
    <n v="246.12"/>
    <n v="4676.28"/>
    <n v="8.1999999999999993"/>
    <n v="38345.5"/>
    <x v="1"/>
  </r>
  <r>
    <x v="0"/>
    <x v="4"/>
    <s v="Balón"/>
    <x v="3"/>
    <x v="2"/>
    <n v="3"/>
    <n v="245.81"/>
    <n v="737.43"/>
    <n v="8.11"/>
    <n v="5980.56"/>
    <x v="1"/>
  </r>
  <r>
    <x v="4"/>
    <x v="1"/>
    <s v="Café"/>
    <x v="2"/>
    <x v="8"/>
    <n v="16"/>
    <n v="332.91"/>
    <n v="5326.56"/>
    <n v="8.1"/>
    <n v="43145.14"/>
    <x v="1"/>
  </r>
  <r>
    <x v="0"/>
    <x v="3"/>
    <s v="Chaqueta"/>
    <x v="3"/>
    <x v="6"/>
    <n v="19"/>
    <n v="491.97"/>
    <n v="9347.43"/>
    <n v="7.9"/>
    <n v="73844.7"/>
    <x v="1"/>
  </r>
  <r>
    <x v="1"/>
    <x v="2"/>
    <s v="Silla"/>
    <x v="0"/>
    <x v="11"/>
    <n v="20"/>
    <n v="127.63"/>
    <n v="2552.6"/>
    <n v="7.62"/>
    <n v="19450.810000000001"/>
    <x v="1"/>
  </r>
  <r>
    <x v="3"/>
    <x v="3"/>
    <s v="Chaqueta"/>
    <x v="0"/>
    <x v="1"/>
    <n v="3"/>
    <n v="222.01"/>
    <n v="666.03"/>
    <n v="7.72"/>
    <n v="5141.75"/>
    <x v="1"/>
  </r>
  <r>
    <x v="4"/>
    <x v="2"/>
    <s v="Mesa"/>
    <x v="2"/>
    <x v="5"/>
    <n v="14"/>
    <n v="18.8"/>
    <n v="263.2"/>
    <n v="8.3000000000000007"/>
    <n v="2184.56"/>
    <x v="1"/>
  </r>
  <r>
    <x v="4"/>
    <x v="0"/>
    <s v="Laptop"/>
    <x v="0"/>
    <x v="4"/>
    <n v="4"/>
    <n v="492.97"/>
    <n v="1971.88"/>
    <n v="7.98"/>
    <n v="15735.6"/>
    <x v="1"/>
  </r>
  <r>
    <x v="1"/>
    <x v="3"/>
    <s v="Chaqueta"/>
    <x v="2"/>
    <x v="9"/>
    <n v="18"/>
    <n v="32.51"/>
    <n v="585.17999999999995"/>
    <n v="7.62"/>
    <n v="4459.07"/>
    <x v="1"/>
  </r>
  <r>
    <x v="3"/>
    <x v="2"/>
    <s v="Mesa"/>
    <x v="1"/>
    <x v="10"/>
    <n v="16"/>
    <n v="149.29"/>
    <n v="2388.64"/>
    <n v="8.0500000000000007"/>
    <n v="19228.55"/>
    <x v="1"/>
  </r>
  <r>
    <x v="1"/>
    <x v="1"/>
    <s v="Cereal"/>
    <x v="0"/>
    <x v="4"/>
    <n v="5"/>
    <n v="162.16999999999999"/>
    <n v="810.85"/>
    <n v="7.83"/>
    <n v="6348.96"/>
    <x v="1"/>
  </r>
  <r>
    <x v="5"/>
    <x v="2"/>
    <s v="Colchón"/>
    <x v="0"/>
    <x v="11"/>
    <n v="15"/>
    <n v="476.31"/>
    <n v="7144.65"/>
    <n v="7.72"/>
    <n v="55156.7"/>
    <x v="1"/>
  </r>
  <r>
    <x v="1"/>
    <x v="2"/>
    <s v="Mesa"/>
    <x v="2"/>
    <x v="1"/>
    <n v="9"/>
    <n v="47.77"/>
    <n v="429.93"/>
    <n v="7.7"/>
    <n v="3310.46"/>
    <x v="1"/>
  </r>
  <r>
    <x v="3"/>
    <x v="1"/>
    <s v="Café"/>
    <x v="3"/>
    <x v="5"/>
    <n v="8"/>
    <n v="450.64"/>
    <n v="3605.12"/>
    <n v="8.3000000000000007"/>
    <n v="29922.5"/>
    <x v="1"/>
  </r>
  <r>
    <x v="1"/>
    <x v="0"/>
    <s v="Laptop"/>
    <x v="0"/>
    <x v="10"/>
    <n v="5"/>
    <n v="39.67"/>
    <n v="198.35"/>
    <n v="8.11"/>
    <n v="1608.62"/>
    <x v="1"/>
  </r>
  <r>
    <x v="1"/>
    <x v="3"/>
    <s v="Zapatos"/>
    <x v="1"/>
    <x v="7"/>
    <n v="9"/>
    <n v="305.81"/>
    <n v="2752.29"/>
    <n v="8.4"/>
    <n v="23119.24"/>
    <x v="1"/>
  </r>
  <r>
    <x v="0"/>
    <x v="4"/>
    <s v="Balón"/>
    <x v="0"/>
    <x v="3"/>
    <n v="17"/>
    <n v="447.85"/>
    <n v="7613.45"/>
    <n v="7.52"/>
    <n v="57253.14"/>
    <x v="1"/>
  </r>
  <r>
    <x v="3"/>
    <x v="4"/>
    <s v="Guantes"/>
    <x v="0"/>
    <x v="9"/>
    <n v="7"/>
    <n v="218.85"/>
    <n v="1531.95"/>
    <n v="8.42"/>
    <n v="12899.02"/>
    <x v="1"/>
  </r>
  <r>
    <x v="2"/>
    <x v="3"/>
    <s v="Pantalón"/>
    <x v="1"/>
    <x v="9"/>
    <n v="11"/>
    <n v="497.39"/>
    <n v="5471.29"/>
    <n v="8.2799999999999994"/>
    <n v="45302.28"/>
    <x v="1"/>
  </r>
  <r>
    <x v="2"/>
    <x v="0"/>
    <s v="Smartphone"/>
    <x v="1"/>
    <x v="5"/>
    <n v="9"/>
    <n v="81.010000000000005"/>
    <n v="729.09"/>
    <n v="8.35"/>
    <n v="6087.9"/>
    <x v="1"/>
  </r>
  <r>
    <x v="2"/>
    <x v="1"/>
    <s v="Azúcar"/>
    <x v="0"/>
    <x v="1"/>
    <n v="4"/>
    <n v="200.49"/>
    <n v="801.96"/>
    <n v="8.3800000000000008"/>
    <n v="6720.42"/>
    <x v="1"/>
  </r>
  <r>
    <x v="3"/>
    <x v="4"/>
    <s v="Bicicleta"/>
    <x v="0"/>
    <x v="11"/>
    <n v="19"/>
    <n v="263.39"/>
    <n v="5004.41"/>
    <n v="8.07"/>
    <n v="40385.589999999997"/>
    <x v="1"/>
  </r>
  <r>
    <x v="0"/>
    <x v="1"/>
    <s v="Azúcar"/>
    <x v="1"/>
    <x v="7"/>
    <n v="2"/>
    <n v="216.09"/>
    <n v="432.18"/>
    <n v="8.3000000000000007"/>
    <n v="3587.09"/>
    <x v="1"/>
  </r>
  <r>
    <x v="5"/>
    <x v="4"/>
    <s v="Cuerda"/>
    <x v="1"/>
    <x v="9"/>
    <n v="19"/>
    <n v="235.53"/>
    <n v="4475.07"/>
    <n v="8.49"/>
    <n v="37993.339999999997"/>
    <x v="1"/>
  </r>
  <r>
    <x v="5"/>
    <x v="1"/>
    <s v="Azúcar"/>
    <x v="0"/>
    <x v="2"/>
    <n v="5"/>
    <n v="157.59"/>
    <n v="787.95"/>
    <n v="8.07"/>
    <n v="6358.76"/>
    <x v="1"/>
  </r>
  <r>
    <x v="1"/>
    <x v="1"/>
    <s v="Azúcar"/>
    <x v="2"/>
    <x v="1"/>
    <n v="16"/>
    <n v="463.14"/>
    <n v="7410.24"/>
    <n v="7.85"/>
    <n v="58170.38"/>
    <x v="1"/>
  </r>
  <r>
    <x v="5"/>
    <x v="4"/>
    <s v="Cuerda"/>
    <x v="2"/>
    <x v="6"/>
    <n v="15"/>
    <n v="106.67"/>
    <n v="1600.05"/>
    <n v="7.71"/>
    <n v="12336.39"/>
    <x v="1"/>
  </r>
  <r>
    <x v="1"/>
    <x v="4"/>
    <s v="Cuerda"/>
    <x v="3"/>
    <x v="11"/>
    <n v="10"/>
    <n v="288.43"/>
    <n v="2884.3"/>
    <n v="7.57"/>
    <n v="21834.15"/>
    <x v="1"/>
  </r>
  <r>
    <x v="5"/>
    <x v="2"/>
    <s v="Lámpara"/>
    <x v="3"/>
    <x v="3"/>
    <n v="5"/>
    <n v="363.48"/>
    <n v="1817.4"/>
    <n v="8.11"/>
    <n v="14739.11"/>
    <x v="1"/>
  </r>
  <r>
    <x v="2"/>
    <x v="0"/>
    <s v="Smartphone"/>
    <x v="1"/>
    <x v="2"/>
    <n v="12"/>
    <n v="393.64"/>
    <n v="4723.68"/>
    <n v="8.44"/>
    <n v="39867.86"/>
    <x v="1"/>
  </r>
  <r>
    <x v="3"/>
    <x v="2"/>
    <s v="Mesa"/>
    <x v="3"/>
    <x v="5"/>
    <n v="16"/>
    <n v="334.71"/>
    <n v="5355.36"/>
    <n v="7.92"/>
    <n v="42414.45"/>
    <x v="1"/>
  </r>
  <r>
    <x v="0"/>
    <x v="2"/>
    <s v="Colchón"/>
    <x v="0"/>
    <x v="0"/>
    <n v="3"/>
    <n v="390.38"/>
    <n v="1171.1400000000001"/>
    <n v="8.17"/>
    <n v="9568.2099999999991"/>
    <x v="1"/>
  </r>
  <r>
    <x v="0"/>
    <x v="4"/>
    <s v="Guantes"/>
    <x v="3"/>
    <x v="2"/>
    <n v="2"/>
    <n v="95.4"/>
    <n v="190.8"/>
    <n v="8.43"/>
    <n v="1608.44"/>
    <x v="1"/>
  </r>
  <r>
    <x v="3"/>
    <x v="2"/>
    <s v="Colchón"/>
    <x v="0"/>
    <x v="6"/>
    <n v="1"/>
    <n v="325.13"/>
    <n v="325.13"/>
    <n v="7.51"/>
    <n v="2441.73"/>
    <x v="1"/>
  </r>
  <r>
    <x v="0"/>
    <x v="1"/>
    <s v="Cereal"/>
    <x v="0"/>
    <x v="3"/>
    <n v="6"/>
    <n v="331.73"/>
    <n v="1990.38"/>
    <n v="8.06"/>
    <n v="16042.46"/>
    <x v="1"/>
  </r>
  <r>
    <x v="4"/>
    <x v="4"/>
    <s v="Balón"/>
    <x v="0"/>
    <x v="10"/>
    <n v="14"/>
    <n v="79.94"/>
    <n v="1119.1600000000001"/>
    <n v="8.41"/>
    <n v="9412.14"/>
    <x v="1"/>
  </r>
  <r>
    <x v="3"/>
    <x v="2"/>
    <s v="Colchón"/>
    <x v="0"/>
    <x v="8"/>
    <n v="1"/>
    <n v="234.91"/>
    <n v="234.91"/>
    <n v="8.33"/>
    <n v="1956.8"/>
    <x v="1"/>
  </r>
  <r>
    <x v="3"/>
    <x v="0"/>
    <s v="Monitor"/>
    <x v="2"/>
    <x v="10"/>
    <n v="16"/>
    <n v="182.4"/>
    <n v="2918.4"/>
    <n v="8.07"/>
    <n v="23551.49"/>
    <x v="1"/>
  </r>
  <r>
    <x v="1"/>
    <x v="1"/>
    <s v="Aceite"/>
    <x v="1"/>
    <x v="4"/>
    <n v="2"/>
    <n v="134.41999999999999"/>
    <n v="268.83999999999997"/>
    <n v="7.58"/>
    <n v="2037.81"/>
    <x v="1"/>
  </r>
  <r>
    <x v="4"/>
    <x v="3"/>
    <s v="Camisa"/>
    <x v="1"/>
    <x v="11"/>
    <n v="3"/>
    <n v="355.61"/>
    <n v="1066.83"/>
    <n v="7.51"/>
    <n v="8011.89"/>
    <x v="1"/>
  </r>
  <r>
    <x v="5"/>
    <x v="3"/>
    <s v="Pantalón"/>
    <x v="2"/>
    <x v="7"/>
    <n v="9"/>
    <n v="325.37"/>
    <n v="2928.33"/>
    <n v="8.48"/>
    <n v="24832.240000000002"/>
    <x v="1"/>
  </r>
  <r>
    <x v="1"/>
    <x v="4"/>
    <s v="Balón"/>
    <x v="2"/>
    <x v="5"/>
    <n v="5"/>
    <n v="123.98"/>
    <n v="619.9"/>
    <n v="8.14"/>
    <n v="5045.99"/>
    <x v="1"/>
  </r>
  <r>
    <x v="1"/>
    <x v="1"/>
    <s v="Cereal"/>
    <x v="3"/>
    <x v="3"/>
    <n v="17"/>
    <n v="58.6"/>
    <n v="996.2"/>
    <n v="7.9"/>
    <n v="7869.98"/>
    <x v="1"/>
  </r>
  <r>
    <x v="2"/>
    <x v="1"/>
    <s v="Aceite"/>
    <x v="1"/>
    <x v="1"/>
    <n v="9"/>
    <n v="57.16"/>
    <n v="514.44000000000005"/>
    <n v="8.2799999999999994"/>
    <n v="4259.5600000000004"/>
    <x v="1"/>
  </r>
  <r>
    <x v="5"/>
    <x v="3"/>
    <s v="Pantalón"/>
    <x v="2"/>
    <x v="3"/>
    <n v="6"/>
    <n v="112.75"/>
    <n v="676.5"/>
    <n v="7.63"/>
    <n v="5161.6899999999996"/>
    <x v="1"/>
  </r>
  <r>
    <x v="1"/>
    <x v="1"/>
    <s v="Cereal"/>
    <x v="3"/>
    <x v="5"/>
    <n v="1"/>
    <n v="393.12"/>
    <n v="393.12"/>
    <n v="7.9"/>
    <n v="3105.65"/>
    <x v="1"/>
  </r>
  <r>
    <x v="0"/>
    <x v="1"/>
    <s v="Café"/>
    <x v="2"/>
    <x v="5"/>
    <n v="20"/>
    <n v="276.39"/>
    <n v="5527.8"/>
    <n v="8.1"/>
    <n v="44775.18"/>
    <x v="1"/>
  </r>
  <r>
    <x v="3"/>
    <x v="2"/>
    <s v="Lámpara"/>
    <x v="1"/>
    <x v="6"/>
    <n v="8"/>
    <n v="385.9"/>
    <n v="3087.2"/>
    <n v="7.68"/>
    <n v="23709.7"/>
    <x v="1"/>
  </r>
  <r>
    <x v="0"/>
    <x v="2"/>
    <s v="Lámpara"/>
    <x v="0"/>
    <x v="4"/>
    <n v="18"/>
    <n v="308.31"/>
    <n v="5549.58"/>
    <n v="7.86"/>
    <n v="43619.7"/>
    <x v="1"/>
  </r>
  <r>
    <x v="5"/>
    <x v="3"/>
    <s v="Pantalón"/>
    <x v="1"/>
    <x v="1"/>
    <n v="7"/>
    <n v="383.04"/>
    <n v="2681.28"/>
    <n v="7.69"/>
    <n v="20619.04"/>
    <x v="1"/>
  </r>
  <r>
    <x v="3"/>
    <x v="3"/>
    <s v="Chaqueta"/>
    <x v="0"/>
    <x v="10"/>
    <n v="7"/>
    <n v="455.76"/>
    <n v="3190.32"/>
    <n v="8.31"/>
    <n v="26511.56"/>
    <x v="1"/>
  </r>
  <r>
    <x v="2"/>
    <x v="3"/>
    <s v="Zapatos"/>
    <x v="0"/>
    <x v="3"/>
    <n v="15"/>
    <n v="257.58"/>
    <n v="3863.7"/>
    <n v="7.58"/>
    <n v="29286.85"/>
    <x v="1"/>
  </r>
  <r>
    <x v="5"/>
    <x v="0"/>
    <s v="Laptop"/>
    <x v="3"/>
    <x v="11"/>
    <n v="18"/>
    <n v="102.31"/>
    <n v="1841.58"/>
    <n v="7.6"/>
    <n v="13996.01"/>
    <x v="1"/>
  </r>
  <r>
    <x v="5"/>
    <x v="1"/>
    <s v="Azúcar"/>
    <x v="2"/>
    <x v="5"/>
    <n v="18"/>
    <n v="458.43"/>
    <n v="8251.74"/>
    <n v="8"/>
    <n v="66013.919999999998"/>
    <x v="1"/>
  </r>
  <r>
    <x v="3"/>
    <x v="0"/>
    <s v="Monitor"/>
    <x v="2"/>
    <x v="3"/>
    <n v="8"/>
    <n v="101.72"/>
    <n v="813.76"/>
    <n v="7.96"/>
    <n v="6477.53"/>
    <x v="1"/>
  </r>
  <r>
    <x v="2"/>
    <x v="4"/>
    <s v="Cuerda"/>
    <x v="1"/>
    <x v="0"/>
    <n v="5"/>
    <n v="248.2"/>
    <n v="1241"/>
    <n v="8.06"/>
    <n v="10002.459999999999"/>
    <x v="1"/>
  </r>
  <r>
    <x v="0"/>
    <x v="1"/>
    <s v="Azúcar"/>
    <x v="0"/>
    <x v="1"/>
    <n v="20"/>
    <n v="264.74"/>
    <n v="5294.8"/>
    <n v="7.6"/>
    <n v="40240.480000000003"/>
    <x v="1"/>
  </r>
  <r>
    <x v="5"/>
    <x v="2"/>
    <s v="Lámpara"/>
    <x v="0"/>
    <x v="9"/>
    <n v="13"/>
    <n v="335.72"/>
    <n v="4364.3599999999997"/>
    <n v="7.9"/>
    <n v="34478.44"/>
    <x v="1"/>
  </r>
  <r>
    <x v="3"/>
    <x v="2"/>
    <s v="Colchón"/>
    <x v="1"/>
    <x v="3"/>
    <n v="13"/>
    <n v="70.64"/>
    <n v="918.32"/>
    <n v="7.84"/>
    <n v="7199.63"/>
    <x v="1"/>
  </r>
  <r>
    <x v="5"/>
    <x v="2"/>
    <s v="Silla"/>
    <x v="1"/>
    <x v="8"/>
    <n v="17"/>
    <n v="12.22"/>
    <n v="207.74"/>
    <n v="7.8"/>
    <n v="1620.37"/>
    <x v="1"/>
  </r>
  <r>
    <x v="4"/>
    <x v="4"/>
    <s v="Cuerda"/>
    <x v="0"/>
    <x v="0"/>
    <n v="9"/>
    <n v="436.65"/>
    <n v="3929.85"/>
    <n v="8.44"/>
    <n v="33167.93"/>
    <x v="1"/>
  </r>
  <r>
    <x v="0"/>
    <x v="2"/>
    <s v="Colchón"/>
    <x v="1"/>
    <x v="7"/>
    <n v="15"/>
    <n v="154.4"/>
    <n v="2316"/>
    <n v="7.53"/>
    <n v="17439.48"/>
    <x v="1"/>
  </r>
  <r>
    <x v="4"/>
    <x v="3"/>
    <s v="Zapatos"/>
    <x v="0"/>
    <x v="1"/>
    <n v="3"/>
    <n v="170.94"/>
    <n v="512.82000000000005"/>
    <n v="7.71"/>
    <n v="3953.84"/>
    <x v="1"/>
  </r>
  <r>
    <x v="4"/>
    <x v="3"/>
    <s v="Chaqueta"/>
    <x v="0"/>
    <x v="6"/>
    <n v="9"/>
    <n v="22.51"/>
    <n v="202.59"/>
    <n v="8.4600000000000009"/>
    <n v="1713.91"/>
    <x v="1"/>
  </r>
  <r>
    <x v="3"/>
    <x v="4"/>
    <s v="Bicicleta"/>
    <x v="1"/>
    <x v="7"/>
    <n v="9"/>
    <n v="190.38"/>
    <n v="1713.42"/>
    <n v="8.43"/>
    <n v="14444.13"/>
    <x v="1"/>
  </r>
  <r>
    <x v="3"/>
    <x v="2"/>
    <s v="Silla"/>
    <x v="3"/>
    <x v="9"/>
    <n v="15"/>
    <n v="97.81"/>
    <n v="1467.15"/>
    <n v="7.71"/>
    <n v="11311.73"/>
    <x v="1"/>
  </r>
  <r>
    <x v="4"/>
    <x v="1"/>
    <s v="Café"/>
    <x v="3"/>
    <x v="11"/>
    <n v="8"/>
    <n v="486.26"/>
    <n v="3890.08"/>
    <n v="7.84"/>
    <n v="30498.23"/>
    <x v="1"/>
  </r>
  <r>
    <x v="5"/>
    <x v="2"/>
    <s v="Colchón"/>
    <x v="1"/>
    <x v="11"/>
    <n v="7"/>
    <n v="491.59"/>
    <n v="3441.13"/>
    <n v="7.54"/>
    <n v="25946.12"/>
    <x v="1"/>
  </r>
  <r>
    <x v="1"/>
    <x v="0"/>
    <s v="Laptop"/>
    <x v="3"/>
    <x v="10"/>
    <n v="6"/>
    <n v="468.92"/>
    <n v="2813.52"/>
    <n v="8.24"/>
    <n v="23183.4"/>
    <x v="1"/>
  </r>
  <r>
    <x v="0"/>
    <x v="0"/>
    <s v="Auriculares"/>
    <x v="1"/>
    <x v="10"/>
    <n v="4"/>
    <n v="170.56"/>
    <n v="682.24"/>
    <n v="8.4600000000000009"/>
    <n v="5771.75"/>
    <x v="1"/>
  </r>
  <r>
    <x v="2"/>
    <x v="2"/>
    <s v="Colchón"/>
    <x v="1"/>
    <x v="6"/>
    <n v="18"/>
    <n v="434.6"/>
    <n v="7822.8"/>
    <n v="8.33"/>
    <n v="65163.92"/>
    <x v="1"/>
  </r>
  <r>
    <x v="5"/>
    <x v="4"/>
    <s v="Balón"/>
    <x v="1"/>
    <x v="10"/>
    <n v="9"/>
    <n v="81.67"/>
    <n v="735.03"/>
    <n v="7.67"/>
    <n v="5637.68"/>
    <x v="1"/>
  </r>
  <r>
    <x v="2"/>
    <x v="2"/>
    <s v="Lámpara"/>
    <x v="0"/>
    <x v="3"/>
    <n v="16"/>
    <n v="308"/>
    <n v="4928"/>
    <n v="8.01"/>
    <n v="39473.279999999999"/>
    <x v="1"/>
  </r>
  <r>
    <x v="1"/>
    <x v="2"/>
    <s v="Silla"/>
    <x v="0"/>
    <x v="9"/>
    <n v="16"/>
    <n v="455.76"/>
    <n v="7292.16"/>
    <n v="7.73"/>
    <n v="56368.4"/>
    <x v="1"/>
  </r>
  <r>
    <x v="2"/>
    <x v="3"/>
    <s v="Camisa"/>
    <x v="1"/>
    <x v="2"/>
    <n v="5"/>
    <n v="170.01"/>
    <n v="850.05"/>
    <n v="8.49"/>
    <n v="7216.92"/>
    <x v="1"/>
  </r>
  <r>
    <x v="0"/>
    <x v="1"/>
    <s v="Azúcar"/>
    <x v="1"/>
    <x v="7"/>
    <n v="7"/>
    <n v="149.31"/>
    <n v="1045.17"/>
    <n v="7.66"/>
    <n v="8006"/>
    <x v="1"/>
  </r>
  <r>
    <x v="0"/>
    <x v="3"/>
    <s v="Pantalón"/>
    <x v="1"/>
    <x v="6"/>
    <n v="16"/>
    <n v="224.99"/>
    <n v="3599.84"/>
    <n v="7.54"/>
    <n v="27142.79"/>
    <x v="1"/>
  </r>
  <r>
    <x v="0"/>
    <x v="0"/>
    <s v="Auriculares"/>
    <x v="3"/>
    <x v="0"/>
    <n v="18"/>
    <n v="165.67"/>
    <n v="2982.06"/>
    <n v="7.69"/>
    <n v="22932.04"/>
    <x v="1"/>
  </r>
  <r>
    <x v="4"/>
    <x v="1"/>
    <s v="Cereal"/>
    <x v="2"/>
    <x v="10"/>
    <n v="13"/>
    <n v="140.81"/>
    <n v="1830.53"/>
    <n v="8.39"/>
    <n v="15358.15"/>
    <x v="1"/>
  </r>
  <r>
    <x v="1"/>
    <x v="0"/>
    <s v="Auriculares"/>
    <x v="1"/>
    <x v="10"/>
    <n v="6"/>
    <n v="486.52"/>
    <n v="2919.12"/>
    <n v="8.02"/>
    <n v="23411.34"/>
    <x v="1"/>
  </r>
  <r>
    <x v="3"/>
    <x v="2"/>
    <s v="Lámpara"/>
    <x v="1"/>
    <x v="4"/>
    <n v="16"/>
    <n v="54.94"/>
    <n v="879.04"/>
    <n v="8.31"/>
    <n v="7304.82"/>
    <x v="1"/>
  </r>
  <r>
    <x v="1"/>
    <x v="3"/>
    <s v="Camisa"/>
    <x v="3"/>
    <x v="4"/>
    <n v="9"/>
    <n v="137.34"/>
    <n v="1236.06"/>
    <n v="7.62"/>
    <n v="9418.7800000000007"/>
    <x v="1"/>
  </r>
  <r>
    <x v="5"/>
    <x v="4"/>
    <s v="Cuerda"/>
    <x v="1"/>
    <x v="10"/>
    <n v="9"/>
    <n v="31.87"/>
    <n v="286.83"/>
    <n v="8.2200000000000006"/>
    <n v="2357.7399999999998"/>
    <x v="1"/>
  </r>
  <r>
    <x v="4"/>
    <x v="2"/>
    <s v="Mesa"/>
    <x v="3"/>
    <x v="1"/>
    <n v="13"/>
    <n v="143.96"/>
    <n v="1871.48"/>
    <n v="8.34"/>
    <n v="15608.14"/>
    <x v="1"/>
  </r>
  <r>
    <x v="4"/>
    <x v="2"/>
    <s v="Lámpara"/>
    <x v="2"/>
    <x v="9"/>
    <n v="4"/>
    <n v="458.46"/>
    <n v="1833.84"/>
    <n v="8.01"/>
    <n v="14689.06"/>
    <x v="1"/>
  </r>
  <r>
    <x v="2"/>
    <x v="0"/>
    <s v="Laptop"/>
    <x v="0"/>
    <x v="6"/>
    <n v="18"/>
    <n v="344.67"/>
    <n v="6204.06"/>
    <n v="8.3000000000000007"/>
    <n v="51493.7"/>
    <x v="1"/>
  </r>
  <r>
    <x v="3"/>
    <x v="1"/>
    <s v="Azúcar"/>
    <x v="3"/>
    <x v="6"/>
    <n v="19"/>
    <n v="205.26"/>
    <n v="3899.94"/>
    <n v="8.23"/>
    <n v="32096.51"/>
    <x v="1"/>
  </r>
  <r>
    <x v="1"/>
    <x v="4"/>
    <s v="Bicicleta"/>
    <x v="2"/>
    <x v="11"/>
    <n v="16"/>
    <n v="119.36"/>
    <n v="1909.76"/>
    <n v="8.1"/>
    <n v="15469.06"/>
    <x v="1"/>
  </r>
  <r>
    <x v="4"/>
    <x v="4"/>
    <s v="Bicicleta"/>
    <x v="2"/>
    <x v="11"/>
    <n v="2"/>
    <n v="324.27"/>
    <n v="648.54"/>
    <n v="7.7"/>
    <n v="4993.76"/>
    <x v="1"/>
  </r>
  <r>
    <x v="0"/>
    <x v="4"/>
    <s v="Bicicleta"/>
    <x v="3"/>
    <x v="4"/>
    <n v="14"/>
    <n v="328.64"/>
    <n v="4600.96"/>
    <n v="8.41"/>
    <n v="38694.07"/>
    <x v="1"/>
  </r>
  <r>
    <x v="2"/>
    <x v="3"/>
    <s v="Zapatos"/>
    <x v="3"/>
    <x v="9"/>
    <n v="18"/>
    <n v="135.06"/>
    <n v="2431.08"/>
    <n v="8.02"/>
    <n v="19497.259999999998"/>
    <x v="1"/>
  </r>
  <r>
    <x v="1"/>
    <x v="4"/>
    <s v="Balón"/>
    <x v="0"/>
    <x v="3"/>
    <n v="12"/>
    <n v="324.56"/>
    <n v="3894.72"/>
    <n v="8.19"/>
    <n v="31897.759999999998"/>
    <x v="1"/>
  </r>
  <r>
    <x v="0"/>
    <x v="1"/>
    <s v="Café"/>
    <x v="2"/>
    <x v="5"/>
    <n v="19"/>
    <n v="99.59"/>
    <n v="1892.21"/>
    <n v="8.35"/>
    <n v="15799.95"/>
    <x v="1"/>
  </r>
  <r>
    <x v="2"/>
    <x v="1"/>
    <s v="Café"/>
    <x v="2"/>
    <x v="3"/>
    <n v="8"/>
    <n v="167.62"/>
    <n v="1340.96"/>
    <n v="7.91"/>
    <n v="10606.99"/>
    <x v="1"/>
  </r>
  <r>
    <x v="1"/>
    <x v="2"/>
    <s v="Mesa"/>
    <x v="3"/>
    <x v="10"/>
    <n v="3"/>
    <n v="395.51"/>
    <n v="1186.53"/>
    <n v="7.56"/>
    <n v="8970.17"/>
    <x v="1"/>
  </r>
  <r>
    <x v="2"/>
    <x v="1"/>
    <s v="Aceite"/>
    <x v="0"/>
    <x v="2"/>
    <n v="17"/>
    <n v="478.59"/>
    <n v="8136.03"/>
    <n v="8.42"/>
    <n v="68505.37"/>
    <x v="1"/>
  </r>
  <r>
    <x v="1"/>
    <x v="1"/>
    <s v="Café"/>
    <x v="1"/>
    <x v="6"/>
    <n v="1"/>
    <n v="408"/>
    <n v="408"/>
    <n v="7.72"/>
    <n v="3149.76"/>
    <x v="1"/>
  </r>
  <r>
    <x v="4"/>
    <x v="1"/>
    <s v="Azúcar"/>
    <x v="0"/>
    <x v="11"/>
    <n v="4"/>
    <n v="243.24"/>
    <n v="972.96"/>
    <n v="7.93"/>
    <n v="7715.57"/>
    <x v="1"/>
  </r>
  <r>
    <x v="5"/>
    <x v="0"/>
    <s v="Laptop"/>
    <x v="0"/>
    <x v="8"/>
    <n v="8"/>
    <n v="20.79"/>
    <n v="166.32"/>
    <n v="7.92"/>
    <n v="1317.25"/>
    <x v="1"/>
  </r>
  <r>
    <x v="5"/>
    <x v="4"/>
    <s v="Cuerda"/>
    <x v="3"/>
    <x v="8"/>
    <n v="19"/>
    <n v="238.04"/>
    <n v="4522.76"/>
    <n v="7.97"/>
    <n v="36046.400000000001"/>
    <x v="1"/>
  </r>
  <r>
    <x v="5"/>
    <x v="0"/>
    <s v="Monitor"/>
    <x v="3"/>
    <x v="5"/>
    <n v="9"/>
    <n v="483.3"/>
    <n v="4349.7"/>
    <n v="7.74"/>
    <n v="33666.68"/>
    <x v="1"/>
  </r>
  <r>
    <x v="2"/>
    <x v="1"/>
    <s v="Aceite"/>
    <x v="1"/>
    <x v="0"/>
    <n v="3"/>
    <n v="86.83"/>
    <n v="260.49"/>
    <n v="8.3800000000000008"/>
    <n v="2182.91"/>
    <x v="1"/>
  </r>
  <r>
    <x v="1"/>
    <x v="4"/>
    <s v="Bicicleta"/>
    <x v="3"/>
    <x v="2"/>
    <n v="20"/>
    <n v="328.92"/>
    <n v="6578.4"/>
    <n v="8.43"/>
    <n v="55455.91"/>
    <x v="1"/>
  </r>
  <r>
    <x v="0"/>
    <x v="3"/>
    <s v="Camisa"/>
    <x v="3"/>
    <x v="8"/>
    <n v="14"/>
    <n v="449.36"/>
    <n v="6291.04"/>
    <n v="8.14"/>
    <n v="51209.07"/>
    <x v="1"/>
  </r>
  <r>
    <x v="1"/>
    <x v="0"/>
    <s v="Smartphone"/>
    <x v="3"/>
    <x v="11"/>
    <n v="17"/>
    <n v="51.73"/>
    <n v="879.41"/>
    <n v="7.78"/>
    <n v="6841.81"/>
    <x v="1"/>
  </r>
  <r>
    <x v="0"/>
    <x v="2"/>
    <s v="Lámpara"/>
    <x v="2"/>
    <x v="11"/>
    <n v="14"/>
    <n v="30.98"/>
    <n v="433.72"/>
    <n v="8.26"/>
    <n v="3582.53"/>
    <x v="1"/>
  </r>
  <r>
    <x v="2"/>
    <x v="1"/>
    <s v="Café"/>
    <x v="2"/>
    <x v="1"/>
    <n v="19"/>
    <n v="409.53"/>
    <n v="7781.07"/>
    <n v="7.59"/>
    <n v="59058.32"/>
    <x v="1"/>
  </r>
  <r>
    <x v="0"/>
    <x v="2"/>
    <s v="Silla"/>
    <x v="2"/>
    <x v="4"/>
    <n v="8"/>
    <n v="352.64"/>
    <n v="2821.12"/>
    <n v="8.39"/>
    <n v="23669.200000000001"/>
    <x v="1"/>
  </r>
  <r>
    <x v="3"/>
    <x v="0"/>
    <s v="Smartphone"/>
    <x v="2"/>
    <x v="6"/>
    <n v="10"/>
    <n v="29.27"/>
    <n v="292.7"/>
    <n v="8.49"/>
    <n v="2485.02"/>
    <x v="1"/>
  </r>
  <r>
    <x v="4"/>
    <x v="0"/>
    <s v="Smartphone"/>
    <x v="2"/>
    <x v="5"/>
    <n v="14"/>
    <n v="177.37"/>
    <n v="2483.1799999999998"/>
    <n v="7.85"/>
    <n v="19492.96"/>
    <x v="1"/>
  </r>
  <r>
    <x v="3"/>
    <x v="0"/>
    <s v="Monitor"/>
    <x v="1"/>
    <x v="10"/>
    <n v="14"/>
    <n v="116.04"/>
    <n v="1624.56"/>
    <n v="7.85"/>
    <n v="12752.8"/>
    <x v="1"/>
  </r>
  <r>
    <x v="5"/>
    <x v="4"/>
    <s v="Cuerda"/>
    <x v="3"/>
    <x v="8"/>
    <n v="12"/>
    <n v="32.65"/>
    <n v="391.8"/>
    <n v="8.06"/>
    <n v="3157.91"/>
    <x v="1"/>
  </r>
  <r>
    <x v="4"/>
    <x v="1"/>
    <s v="Café"/>
    <x v="2"/>
    <x v="2"/>
    <n v="12"/>
    <n v="40.700000000000003"/>
    <n v="488.4"/>
    <n v="7.51"/>
    <n v="3667.88"/>
    <x v="1"/>
  </r>
  <r>
    <x v="3"/>
    <x v="2"/>
    <s v="Colchón"/>
    <x v="0"/>
    <x v="3"/>
    <n v="10"/>
    <n v="493.97"/>
    <n v="4939.7"/>
    <n v="7.51"/>
    <n v="37097.15"/>
    <x v="1"/>
  </r>
  <r>
    <x v="5"/>
    <x v="3"/>
    <s v="Pantalón"/>
    <x v="1"/>
    <x v="2"/>
    <n v="6"/>
    <n v="49.77"/>
    <n v="298.62"/>
    <n v="8.3800000000000008"/>
    <n v="2502.44"/>
    <x v="1"/>
  </r>
  <r>
    <x v="1"/>
    <x v="3"/>
    <s v="Camisa"/>
    <x v="2"/>
    <x v="7"/>
    <n v="12"/>
    <n v="451.63"/>
    <n v="5419.56"/>
    <n v="8.23"/>
    <n v="44602.98"/>
    <x v="1"/>
  </r>
  <r>
    <x v="3"/>
    <x v="4"/>
    <s v="Guantes"/>
    <x v="2"/>
    <x v="5"/>
    <n v="12"/>
    <n v="229.38"/>
    <n v="2752.56"/>
    <n v="7.62"/>
    <n v="20974.51"/>
    <x v="1"/>
  </r>
  <r>
    <x v="1"/>
    <x v="2"/>
    <s v="Silla"/>
    <x v="1"/>
    <x v="5"/>
    <n v="18"/>
    <n v="375.44"/>
    <n v="6757.92"/>
    <n v="7.56"/>
    <n v="51089.88"/>
    <x v="1"/>
  </r>
  <r>
    <x v="4"/>
    <x v="0"/>
    <s v="Smartphone"/>
    <x v="3"/>
    <x v="6"/>
    <n v="5"/>
    <n v="174.64"/>
    <n v="873.2"/>
    <n v="7.78"/>
    <n v="6793.5"/>
    <x v="1"/>
  </r>
  <r>
    <x v="0"/>
    <x v="2"/>
    <s v="Lámpara"/>
    <x v="2"/>
    <x v="4"/>
    <n v="16"/>
    <n v="219.57"/>
    <n v="3513.12"/>
    <n v="7.64"/>
    <n v="26840.240000000002"/>
    <x v="1"/>
  </r>
  <r>
    <x v="2"/>
    <x v="1"/>
    <s v="Café"/>
    <x v="2"/>
    <x v="2"/>
    <n v="16"/>
    <n v="63.78"/>
    <n v="1020.48"/>
    <n v="7.66"/>
    <n v="7816.88"/>
    <x v="1"/>
  </r>
  <r>
    <x v="1"/>
    <x v="1"/>
    <s v="Cereal"/>
    <x v="2"/>
    <x v="7"/>
    <n v="14"/>
    <n v="454.01"/>
    <n v="6356.14"/>
    <n v="8.49"/>
    <n v="53963.63"/>
    <x v="1"/>
  </r>
  <r>
    <x v="4"/>
    <x v="0"/>
    <s v="Smartphone"/>
    <x v="3"/>
    <x v="3"/>
    <n v="15"/>
    <n v="212.55"/>
    <n v="3188.25"/>
    <n v="8.41"/>
    <n v="26813.18"/>
    <x v="1"/>
  </r>
  <r>
    <x v="1"/>
    <x v="3"/>
    <s v="Zapatos"/>
    <x v="2"/>
    <x v="3"/>
    <n v="8"/>
    <n v="232.42"/>
    <n v="1859.36"/>
    <n v="8.0399999999999991"/>
    <n v="14949.25"/>
    <x v="1"/>
  </r>
  <r>
    <x v="3"/>
    <x v="4"/>
    <s v="Bicicleta"/>
    <x v="2"/>
    <x v="5"/>
    <n v="8"/>
    <n v="50.17"/>
    <n v="401.36"/>
    <n v="7.83"/>
    <n v="3142.65"/>
    <x v="1"/>
  </r>
  <r>
    <x v="0"/>
    <x v="4"/>
    <s v="Bicicleta"/>
    <x v="0"/>
    <x v="3"/>
    <n v="12"/>
    <n v="261.02999999999997"/>
    <n v="3132.36"/>
    <n v="8.43"/>
    <n v="26405.79"/>
    <x v="1"/>
  </r>
  <r>
    <x v="3"/>
    <x v="4"/>
    <s v="Bicicleta"/>
    <x v="2"/>
    <x v="2"/>
    <n v="13"/>
    <n v="309.43"/>
    <n v="4022.59"/>
    <n v="7.96"/>
    <n v="32019.82"/>
    <x v="1"/>
  </r>
  <r>
    <x v="2"/>
    <x v="1"/>
    <s v="Café"/>
    <x v="0"/>
    <x v="2"/>
    <n v="18"/>
    <n v="195.99"/>
    <n v="3527.82"/>
    <n v="8.39"/>
    <n v="29598.41"/>
    <x v="1"/>
  </r>
  <r>
    <x v="1"/>
    <x v="3"/>
    <s v="Zapatos"/>
    <x v="2"/>
    <x v="5"/>
    <n v="16"/>
    <n v="285.33"/>
    <n v="4565.28"/>
    <n v="8.33"/>
    <n v="38028.78"/>
    <x v="1"/>
  </r>
  <r>
    <x v="1"/>
    <x v="2"/>
    <s v="Mesa"/>
    <x v="0"/>
    <x v="11"/>
    <n v="16"/>
    <n v="83.89"/>
    <n v="1342.24"/>
    <n v="8.4600000000000009"/>
    <n v="11355.35"/>
    <x v="1"/>
  </r>
  <r>
    <x v="1"/>
    <x v="4"/>
    <s v="Balón"/>
    <x v="0"/>
    <x v="2"/>
    <n v="9"/>
    <n v="95.39"/>
    <n v="858.51"/>
    <n v="7.89"/>
    <n v="6773.64"/>
    <x v="1"/>
  </r>
  <r>
    <x v="4"/>
    <x v="3"/>
    <s v="Chaqueta"/>
    <x v="0"/>
    <x v="4"/>
    <n v="10"/>
    <n v="127.15"/>
    <n v="1271.5"/>
    <n v="8.07"/>
    <n v="10261.01"/>
    <x v="1"/>
  </r>
  <r>
    <x v="0"/>
    <x v="2"/>
    <s v="Silla"/>
    <x v="0"/>
    <x v="7"/>
    <n v="5"/>
    <n v="43.01"/>
    <n v="215.05"/>
    <n v="8.1999999999999993"/>
    <n v="1763.41"/>
    <x v="1"/>
  </r>
  <r>
    <x v="3"/>
    <x v="1"/>
    <s v="Azúcar"/>
    <x v="0"/>
    <x v="2"/>
    <n v="18"/>
    <n v="397.77"/>
    <n v="7159.86"/>
    <n v="7.93"/>
    <n v="56777.69"/>
    <x v="1"/>
  </r>
  <r>
    <x v="4"/>
    <x v="4"/>
    <s v="Bicicleta"/>
    <x v="1"/>
    <x v="6"/>
    <n v="13"/>
    <n v="416.73"/>
    <n v="5417.49"/>
    <n v="7.89"/>
    <n v="42744"/>
    <x v="1"/>
  </r>
  <r>
    <x v="3"/>
    <x v="0"/>
    <s v="Monitor"/>
    <x v="0"/>
    <x v="1"/>
    <n v="18"/>
    <n v="469.8"/>
    <n v="8456.4"/>
    <n v="8.4499999999999993"/>
    <n v="71456.58"/>
    <x v="1"/>
  </r>
  <r>
    <x v="4"/>
    <x v="3"/>
    <s v="Pantalón"/>
    <x v="2"/>
    <x v="4"/>
    <n v="14"/>
    <n v="36.26"/>
    <n v="507.64"/>
    <n v="7.91"/>
    <n v="4015.43"/>
    <x v="1"/>
  </r>
  <r>
    <x v="4"/>
    <x v="2"/>
    <s v="Mesa"/>
    <x v="0"/>
    <x v="5"/>
    <n v="15"/>
    <n v="378.84"/>
    <n v="5682.6"/>
    <n v="8.0500000000000007"/>
    <n v="45744.93"/>
    <x v="1"/>
  </r>
  <r>
    <x v="5"/>
    <x v="1"/>
    <s v="Azúcar"/>
    <x v="1"/>
    <x v="7"/>
    <n v="11"/>
    <n v="196.75"/>
    <n v="2164.25"/>
    <n v="7.94"/>
    <n v="17184.150000000001"/>
    <x v="1"/>
  </r>
  <r>
    <x v="2"/>
    <x v="2"/>
    <s v="Mesa"/>
    <x v="3"/>
    <x v="10"/>
    <n v="7"/>
    <n v="433.95"/>
    <n v="3037.65"/>
    <n v="8.41"/>
    <n v="25546.639999999999"/>
    <x v="1"/>
  </r>
  <r>
    <x v="3"/>
    <x v="2"/>
    <s v="Colchón"/>
    <x v="2"/>
    <x v="9"/>
    <n v="15"/>
    <n v="334.34"/>
    <n v="5015.1000000000004"/>
    <n v="8.1999999999999993"/>
    <n v="41123.82"/>
    <x v="1"/>
  </r>
  <r>
    <x v="4"/>
    <x v="1"/>
    <s v="Aceite"/>
    <x v="1"/>
    <x v="8"/>
    <n v="9"/>
    <n v="248.84"/>
    <n v="2239.56"/>
    <n v="7.54"/>
    <n v="16886.28"/>
    <x v="1"/>
  </r>
  <r>
    <x v="3"/>
    <x v="1"/>
    <s v="Azúcar"/>
    <x v="2"/>
    <x v="8"/>
    <n v="1"/>
    <n v="234.11"/>
    <n v="234.11"/>
    <n v="8.36"/>
    <n v="1957.16"/>
    <x v="1"/>
  </r>
  <r>
    <x v="5"/>
    <x v="1"/>
    <s v="Aceite"/>
    <x v="3"/>
    <x v="6"/>
    <n v="10"/>
    <n v="77.680000000000007"/>
    <n v="776.8"/>
    <n v="7.98"/>
    <n v="6198.86"/>
    <x v="1"/>
  </r>
  <r>
    <x v="4"/>
    <x v="0"/>
    <s v="Smartphone"/>
    <x v="1"/>
    <x v="4"/>
    <n v="17"/>
    <n v="302.3"/>
    <n v="5139.1000000000004"/>
    <n v="8.49"/>
    <n v="43630.96"/>
    <x v="1"/>
  </r>
  <r>
    <x v="1"/>
    <x v="3"/>
    <s v="Pantalón"/>
    <x v="2"/>
    <x v="11"/>
    <n v="9"/>
    <n v="156.22"/>
    <n v="1405.98"/>
    <n v="8.34"/>
    <n v="11725.87"/>
    <x v="1"/>
  </r>
  <r>
    <x v="4"/>
    <x v="2"/>
    <s v="Colchón"/>
    <x v="0"/>
    <x v="3"/>
    <n v="11"/>
    <n v="177.53"/>
    <n v="1952.83"/>
    <n v="8.32"/>
    <n v="16247.55"/>
    <x v="1"/>
  </r>
  <r>
    <x v="3"/>
    <x v="0"/>
    <s v="Auriculares"/>
    <x v="0"/>
    <x v="7"/>
    <n v="15"/>
    <n v="402.06"/>
    <n v="6030.9"/>
    <n v="8.26"/>
    <n v="49815.23"/>
    <x v="1"/>
  </r>
  <r>
    <x v="3"/>
    <x v="4"/>
    <s v="Cuerda"/>
    <x v="1"/>
    <x v="11"/>
    <n v="8"/>
    <n v="94.43"/>
    <n v="755.44"/>
    <n v="7.93"/>
    <n v="5990.64"/>
    <x v="1"/>
  </r>
  <r>
    <x v="0"/>
    <x v="1"/>
    <s v="Aceite"/>
    <x v="1"/>
    <x v="9"/>
    <n v="9"/>
    <n v="172.98"/>
    <n v="1556.82"/>
    <n v="7.95"/>
    <n v="12376.72"/>
    <x v="1"/>
  </r>
  <r>
    <x v="0"/>
    <x v="3"/>
    <s v="Camisa"/>
    <x v="0"/>
    <x v="9"/>
    <n v="15"/>
    <n v="238.9"/>
    <n v="3583.5"/>
    <n v="8.25"/>
    <n v="29563.88"/>
    <x v="1"/>
  </r>
  <r>
    <x v="0"/>
    <x v="0"/>
    <s v="Smartphone"/>
    <x v="3"/>
    <x v="6"/>
    <n v="7"/>
    <n v="142.08000000000001"/>
    <n v="994.56"/>
    <n v="8.35"/>
    <n v="8304.58"/>
    <x v="1"/>
  </r>
  <r>
    <x v="2"/>
    <x v="0"/>
    <s v="Laptop"/>
    <x v="2"/>
    <x v="5"/>
    <n v="9"/>
    <n v="48.06"/>
    <n v="432.54"/>
    <n v="7.68"/>
    <n v="3321.91"/>
    <x v="1"/>
  </r>
  <r>
    <x v="0"/>
    <x v="0"/>
    <s v="Laptop"/>
    <x v="0"/>
    <x v="2"/>
    <n v="19"/>
    <n v="201.39"/>
    <n v="3826.41"/>
    <n v="8.01"/>
    <n v="30649.54"/>
    <x v="1"/>
  </r>
  <r>
    <x v="4"/>
    <x v="4"/>
    <s v="Cuerda"/>
    <x v="2"/>
    <x v="11"/>
    <n v="8"/>
    <n v="99.94"/>
    <n v="799.52"/>
    <n v="8.0500000000000007"/>
    <n v="6436.14"/>
    <x v="1"/>
  </r>
  <r>
    <x v="0"/>
    <x v="4"/>
    <s v="Guantes"/>
    <x v="0"/>
    <x v="10"/>
    <n v="8"/>
    <n v="430.97"/>
    <n v="3447.76"/>
    <n v="7.71"/>
    <n v="26582.23"/>
    <x v="1"/>
  </r>
  <r>
    <x v="0"/>
    <x v="4"/>
    <s v="Guantes"/>
    <x v="1"/>
    <x v="5"/>
    <n v="2"/>
    <n v="382.43"/>
    <n v="764.86"/>
    <n v="8"/>
    <n v="6118.88"/>
    <x v="1"/>
  </r>
  <r>
    <x v="2"/>
    <x v="1"/>
    <s v="Cereal"/>
    <x v="3"/>
    <x v="4"/>
    <n v="1"/>
    <n v="97.08"/>
    <n v="97.08"/>
    <n v="7.62"/>
    <n v="739.75"/>
    <x v="1"/>
  </r>
  <r>
    <x v="4"/>
    <x v="2"/>
    <s v="Mesa"/>
    <x v="2"/>
    <x v="5"/>
    <n v="7"/>
    <n v="446.37"/>
    <n v="3124.59"/>
    <n v="7.83"/>
    <n v="24465.54"/>
    <x v="1"/>
  </r>
  <r>
    <x v="5"/>
    <x v="0"/>
    <s v="Auriculares"/>
    <x v="2"/>
    <x v="1"/>
    <n v="2"/>
    <n v="285.27"/>
    <n v="570.54"/>
    <n v="8.15"/>
    <n v="4649.8999999999996"/>
    <x v="1"/>
  </r>
  <r>
    <x v="4"/>
    <x v="2"/>
    <s v="Mesa"/>
    <x v="0"/>
    <x v="0"/>
    <n v="5"/>
    <n v="194.51"/>
    <n v="972.55"/>
    <n v="8.48"/>
    <n v="8247.2199999999993"/>
    <x v="1"/>
  </r>
  <r>
    <x v="4"/>
    <x v="2"/>
    <s v="Mesa"/>
    <x v="3"/>
    <x v="3"/>
    <n v="7"/>
    <n v="480.89"/>
    <n v="3366.23"/>
    <n v="8.1"/>
    <n v="27266.46"/>
    <x v="1"/>
  </r>
  <r>
    <x v="1"/>
    <x v="2"/>
    <s v="Silla"/>
    <x v="0"/>
    <x v="0"/>
    <n v="1"/>
    <n v="129.88"/>
    <n v="129.88"/>
    <n v="8.24"/>
    <n v="1070.21"/>
    <x v="1"/>
  </r>
  <r>
    <x v="4"/>
    <x v="2"/>
    <s v="Mesa"/>
    <x v="1"/>
    <x v="3"/>
    <n v="12"/>
    <n v="474.44"/>
    <n v="5693.28"/>
    <n v="7.66"/>
    <n v="43610.52"/>
    <x v="1"/>
  </r>
  <r>
    <x v="1"/>
    <x v="2"/>
    <s v="Mesa"/>
    <x v="1"/>
    <x v="1"/>
    <n v="10"/>
    <n v="78.430000000000007"/>
    <n v="784.3"/>
    <n v="7.71"/>
    <n v="6046.95"/>
    <x v="1"/>
  </r>
  <r>
    <x v="3"/>
    <x v="1"/>
    <s v="Cereal"/>
    <x v="3"/>
    <x v="5"/>
    <n v="20"/>
    <n v="329.03"/>
    <n v="6580.6"/>
    <n v="8.32"/>
    <n v="54750.59"/>
    <x v="1"/>
  </r>
  <r>
    <x v="1"/>
    <x v="3"/>
    <s v="Pantalón"/>
    <x v="3"/>
    <x v="5"/>
    <n v="17"/>
    <n v="37.82"/>
    <n v="642.94000000000005"/>
    <n v="7.66"/>
    <n v="4924.92"/>
    <x v="1"/>
  </r>
  <r>
    <x v="1"/>
    <x v="3"/>
    <s v="Pantalón"/>
    <x v="3"/>
    <x v="6"/>
    <n v="13"/>
    <n v="299.02"/>
    <n v="3887.26"/>
    <n v="7.86"/>
    <n v="30553.86"/>
    <x v="1"/>
  </r>
  <r>
    <x v="2"/>
    <x v="3"/>
    <s v="Zapatos"/>
    <x v="2"/>
    <x v="11"/>
    <n v="2"/>
    <n v="40.619999999999997"/>
    <n v="81.239999999999995"/>
    <n v="7.78"/>
    <n v="632.04999999999995"/>
    <x v="1"/>
  </r>
  <r>
    <x v="4"/>
    <x v="1"/>
    <s v="Cereal"/>
    <x v="1"/>
    <x v="6"/>
    <n v="9"/>
    <n v="446.72"/>
    <n v="4020.48"/>
    <n v="8.39"/>
    <n v="33731.83"/>
    <x v="1"/>
  </r>
  <r>
    <x v="3"/>
    <x v="0"/>
    <s v="Laptop"/>
    <x v="0"/>
    <x v="8"/>
    <n v="11"/>
    <n v="494.38"/>
    <n v="5438.18"/>
    <n v="8.39"/>
    <n v="45626.33"/>
    <x v="1"/>
  </r>
  <r>
    <x v="2"/>
    <x v="4"/>
    <s v="Balón"/>
    <x v="3"/>
    <x v="10"/>
    <n v="16"/>
    <n v="389.41"/>
    <n v="6230.56"/>
    <n v="7.95"/>
    <n v="49532.95"/>
    <x v="1"/>
  </r>
  <r>
    <x v="3"/>
    <x v="2"/>
    <s v="Colchón"/>
    <x v="2"/>
    <x v="3"/>
    <n v="12"/>
    <n v="349.9"/>
    <n v="4198.8"/>
    <n v="7.88"/>
    <n v="33086.54"/>
    <x v="1"/>
  </r>
  <r>
    <x v="1"/>
    <x v="0"/>
    <s v="Smartphone"/>
    <x v="0"/>
    <x v="7"/>
    <n v="19"/>
    <n v="240.87"/>
    <n v="4576.53"/>
    <n v="7.62"/>
    <n v="34873.160000000003"/>
    <x v="1"/>
  </r>
  <r>
    <x v="2"/>
    <x v="3"/>
    <s v="Pantalón"/>
    <x v="0"/>
    <x v="11"/>
    <n v="19"/>
    <n v="48.35"/>
    <n v="918.65"/>
    <n v="8.3000000000000007"/>
    <n v="7624.8"/>
    <x v="1"/>
  </r>
  <r>
    <x v="5"/>
    <x v="0"/>
    <s v="Monitor"/>
    <x v="3"/>
    <x v="10"/>
    <n v="2"/>
    <n v="486.41"/>
    <n v="972.82"/>
    <n v="8.39"/>
    <n v="8161.96"/>
    <x v="1"/>
  </r>
  <r>
    <x v="0"/>
    <x v="3"/>
    <s v="Pantalón"/>
    <x v="3"/>
    <x v="11"/>
    <n v="10"/>
    <n v="362.92"/>
    <n v="3629.2"/>
    <n v="7.73"/>
    <n v="28053.72"/>
    <x v="1"/>
  </r>
  <r>
    <x v="5"/>
    <x v="2"/>
    <s v="Mesa"/>
    <x v="2"/>
    <x v="3"/>
    <n v="11"/>
    <n v="11.39"/>
    <n v="125.29"/>
    <n v="8.02"/>
    <n v="1004.83"/>
    <x v="1"/>
  </r>
  <r>
    <x v="1"/>
    <x v="0"/>
    <s v="Auriculares"/>
    <x v="3"/>
    <x v="8"/>
    <n v="16"/>
    <n v="433.38"/>
    <n v="6934.08"/>
    <n v="8.4700000000000006"/>
    <n v="58731.66"/>
    <x v="1"/>
  </r>
  <r>
    <x v="4"/>
    <x v="3"/>
    <s v="Camisa"/>
    <x v="2"/>
    <x v="5"/>
    <n v="17"/>
    <n v="249.73"/>
    <n v="4245.41"/>
    <n v="8.34"/>
    <n v="35406.720000000001"/>
    <x v="1"/>
  </r>
  <r>
    <x v="2"/>
    <x v="3"/>
    <s v="Zapatos"/>
    <x v="0"/>
    <x v="7"/>
    <n v="14"/>
    <n v="55.28"/>
    <n v="773.92"/>
    <n v="8.33"/>
    <n v="6446.75"/>
    <x v="1"/>
  </r>
  <r>
    <x v="3"/>
    <x v="2"/>
    <s v="Silla"/>
    <x v="1"/>
    <x v="9"/>
    <n v="7"/>
    <n v="482.04"/>
    <n v="3374.28"/>
    <n v="7.8"/>
    <n v="26319.38"/>
    <x v="1"/>
  </r>
  <r>
    <x v="4"/>
    <x v="4"/>
    <s v="Balón"/>
    <x v="1"/>
    <x v="2"/>
    <n v="13"/>
    <n v="77.59"/>
    <n v="1008.67"/>
    <n v="7.82"/>
    <n v="7887.8"/>
    <x v="1"/>
  </r>
  <r>
    <x v="0"/>
    <x v="1"/>
    <s v="Aceite"/>
    <x v="2"/>
    <x v="8"/>
    <n v="8"/>
    <n v="64.22"/>
    <n v="513.76"/>
    <n v="7.68"/>
    <n v="3945.68"/>
    <x v="1"/>
  </r>
  <r>
    <x v="1"/>
    <x v="4"/>
    <s v="Bicicleta"/>
    <x v="2"/>
    <x v="5"/>
    <n v="4"/>
    <n v="47.95"/>
    <n v="191.8"/>
    <n v="7.74"/>
    <n v="1484.53"/>
    <x v="1"/>
  </r>
  <r>
    <x v="1"/>
    <x v="1"/>
    <s v="Café"/>
    <x v="1"/>
    <x v="1"/>
    <n v="14"/>
    <n v="200.73"/>
    <n v="2810.22"/>
    <n v="7.89"/>
    <n v="22172.639999999999"/>
    <x v="1"/>
  </r>
  <r>
    <x v="5"/>
    <x v="4"/>
    <s v="Balón"/>
    <x v="3"/>
    <x v="1"/>
    <n v="20"/>
    <n v="443.88"/>
    <n v="8877.6"/>
    <n v="8.07"/>
    <n v="71642.23"/>
    <x v="1"/>
  </r>
  <r>
    <x v="1"/>
    <x v="3"/>
    <s v="Camisa"/>
    <x v="2"/>
    <x v="8"/>
    <n v="1"/>
    <n v="419.09"/>
    <n v="419.09"/>
    <n v="7.89"/>
    <n v="3306.62"/>
    <x v="1"/>
  </r>
  <r>
    <x v="4"/>
    <x v="3"/>
    <s v="Pantalón"/>
    <x v="1"/>
    <x v="9"/>
    <n v="19"/>
    <n v="128.34"/>
    <n v="2438.46"/>
    <n v="7.67"/>
    <n v="18702.990000000002"/>
    <x v="1"/>
  </r>
  <r>
    <x v="5"/>
    <x v="0"/>
    <s v="Auriculares"/>
    <x v="0"/>
    <x v="5"/>
    <n v="10"/>
    <n v="420.52"/>
    <n v="4205.2"/>
    <n v="7.76"/>
    <n v="32632.35"/>
    <x v="1"/>
  </r>
  <r>
    <x v="1"/>
    <x v="1"/>
    <s v="Azúcar"/>
    <x v="3"/>
    <x v="8"/>
    <n v="5"/>
    <n v="223.88"/>
    <n v="1119.4000000000001"/>
    <n v="7.97"/>
    <n v="8921.6200000000008"/>
    <x v="1"/>
  </r>
  <r>
    <x v="1"/>
    <x v="4"/>
    <s v="Guantes"/>
    <x v="0"/>
    <x v="8"/>
    <n v="6"/>
    <n v="156.13"/>
    <n v="936.78"/>
    <n v="8.3800000000000008"/>
    <n v="7850.22"/>
    <x v="1"/>
  </r>
  <r>
    <x v="3"/>
    <x v="1"/>
    <s v="Aceite"/>
    <x v="1"/>
    <x v="9"/>
    <n v="6"/>
    <n v="364.34"/>
    <n v="2186.04"/>
    <n v="7.91"/>
    <n v="17291.580000000002"/>
    <x v="1"/>
  </r>
  <r>
    <x v="0"/>
    <x v="0"/>
    <s v="Laptop"/>
    <x v="2"/>
    <x v="9"/>
    <n v="9"/>
    <n v="396.77"/>
    <n v="3570.93"/>
    <n v="8.32"/>
    <n v="29710.14"/>
    <x v="1"/>
  </r>
  <r>
    <x v="1"/>
    <x v="0"/>
    <s v="Monitor"/>
    <x v="2"/>
    <x v="3"/>
    <n v="4"/>
    <n v="412.49"/>
    <n v="1649.96"/>
    <n v="7.72"/>
    <n v="12737.69"/>
    <x v="1"/>
  </r>
  <r>
    <x v="4"/>
    <x v="1"/>
    <s v="Azúcar"/>
    <x v="3"/>
    <x v="2"/>
    <n v="12"/>
    <n v="366.42"/>
    <n v="4397.04"/>
    <n v="8.07"/>
    <n v="35484.11"/>
    <x v="1"/>
  </r>
  <r>
    <x v="5"/>
    <x v="1"/>
    <s v="Azúcar"/>
    <x v="0"/>
    <x v="5"/>
    <n v="13"/>
    <n v="216.18"/>
    <n v="2810.34"/>
    <n v="8.24"/>
    <n v="23157.200000000001"/>
    <x v="1"/>
  </r>
  <r>
    <x v="5"/>
    <x v="3"/>
    <s v="Zapatos"/>
    <x v="3"/>
    <x v="6"/>
    <n v="11"/>
    <n v="246.62"/>
    <n v="2712.82"/>
    <n v="8.4"/>
    <n v="22787.69"/>
    <x v="1"/>
  </r>
  <r>
    <x v="0"/>
    <x v="4"/>
    <s v="Bicicleta"/>
    <x v="0"/>
    <x v="6"/>
    <n v="14"/>
    <n v="275.91000000000003"/>
    <n v="3862.74"/>
    <n v="7.8"/>
    <n v="30129.37"/>
    <x v="1"/>
  </r>
  <r>
    <x v="1"/>
    <x v="0"/>
    <s v="Auriculares"/>
    <x v="1"/>
    <x v="9"/>
    <n v="4"/>
    <n v="489.56"/>
    <n v="1958.24"/>
    <n v="8.33"/>
    <n v="16312.14"/>
    <x v="1"/>
  </r>
  <r>
    <x v="1"/>
    <x v="3"/>
    <s v="Zapatos"/>
    <x v="2"/>
    <x v="5"/>
    <n v="18"/>
    <n v="230.89"/>
    <n v="4156.0200000000004"/>
    <n v="7.86"/>
    <n v="32666.32"/>
    <x v="1"/>
  </r>
  <r>
    <x v="0"/>
    <x v="1"/>
    <s v="Azúcar"/>
    <x v="2"/>
    <x v="1"/>
    <n v="18"/>
    <n v="422.42"/>
    <n v="7603.56"/>
    <n v="7.92"/>
    <n v="60220.2"/>
    <x v="1"/>
  </r>
  <r>
    <x v="3"/>
    <x v="4"/>
    <s v="Bicicleta"/>
    <x v="1"/>
    <x v="0"/>
    <n v="7"/>
    <n v="308.02999999999997"/>
    <n v="2156.21"/>
    <n v="8.42"/>
    <n v="18155.29"/>
    <x v="1"/>
  </r>
  <r>
    <x v="2"/>
    <x v="0"/>
    <s v="Smartphone"/>
    <x v="2"/>
    <x v="10"/>
    <n v="17"/>
    <n v="142.21"/>
    <n v="2417.5700000000002"/>
    <n v="8.4499999999999993"/>
    <n v="20428.47"/>
    <x v="1"/>
  </r>
  <r>
    <x v="2"/>
    <x v="1"/>
    <s v="Azúcar"/>
    <x v="2"/>
    <x v="9"/>
    <n v="4"/>
    <n v="124.67"/>
    <n v="498.68"/>
    <n v="8.39"/>
    <n v="4183.93"/>
    <x v="1"/>
  </r>
  <r>
    <x v="4"/>
    <x v="4"/>
    <s v="Guantes"/>
    <x v="1"/>
    <x v="11"/>
    <n v="7"/>
    <n v="450.42"/>
    <n v="3152.94"/>
    <n v="8.2899999999999991"/>
    <n v="26137.87"/>
    <x v="1"/>
  </r>
  <r>
    <x v="4"/>
    <x v="3"/>
    <s v="Pantalón"/>
    <x v="0"/>
    <x v="11"/>
    <n v="4"/>
    <n v="92.51"/>
    <n v="370.04"/>
    <n v="7.51"/>
    <n v="2779"/>
    <x v="1"/>
  </r>
  <r>
    <x v="2"/>
    <x v="2"/>
    <s v="Colchón"/>
    <x v="0"/>
    <x v="6"/>
    <n v="3"/>
    <n v="53.48"/>
    <n v="160.44"/>
    <n v="8.35"/>
    <n v="1339.67"/>
    <x v="1"/>
  </r>
  <r>
    <x v="1"/>
    <x v="1"/>
    <s v="Aceite"/>
    <x v="1"/>
    <x v="2"/>
    <n v="13"/>
    <n v="300.33999999999997"/>
    <n v="3904.42"/>
    <n v="7.66"/>
    <n v="29907.86"/>
    <x v="1"/>
  </r>
  <r>
    <x v="0"/>
    <x v="0"/>
    <s v="Smartphone"/>
    <x v="1"/>
    <x v="4"/>
    <n v="3"/>
    <n v="89.29"/>
    <n v="267.87"/>
    <n v="8.25"/>
    <n v="2209.9299999999998"/>
    <x v="1"/>
  </r>
  <r>
    <x v="0"/>
    <x v="1"/>
    <s v="Azúcar"/>
    <x v="0"/>
    <x v="5"/>
    <n v="18"/>
    <n v="293.33999999999997"/>
    <n v="5280.12"/>
    <n v="7.89"/>
    <n v="41660.15"/>
    <x v="1"/>
  </r>
  <r>
    <x v="1"/>
    <x v="3"/>
    <s v="Pantalón"/>
    <x v="2"/>
    <x v="3"/>
    <n v="11"/>
    <n v="185.57"/>
    <n v="2041.27"/>
    <n v="8.49"/>
    <n v="17330.38"/>
    <x v="1"/>
  </r>
  <r>
    <x v="3"/>
    <x v="3"/>
    <s v="Camisa"/>
    <x v="3"/>
    <x v="3"/>
    <n v="20"/>
    <n v="177.17"/>
    <n v="3543.4"/>
    <n v="7.86"/>
    <n v="27851.119999999999"/>
    <x v="1"/>
  </r>
  <r>
    <x v="4"/>
    <x v="2"/>
    <s v="Colchón"/>
    <x v="3"/>
    <x v="7"/>
    <n v="9"/>
    <n v="199.78"/>
    <n v="1798.02"/>
    <n v="7.91"/>
    <n v="14222.34"/>
    <x v="1"/>
  </r>
  <r>
    <x v="1"/>
    <x v="2"/>
    <s v="Mesa"/>
    <x v="2"/>
    <x v="4"/>
    <n v="14"/>
    <n v="356.82"/>
    <n v="4995.4799999999996"/>
    <n v="7.66"/>
    <n v="38265.379999999997"/>
    <x v="1"/>
  </r>
  <r>
    <x v="0"/>
    <x v="0"/>
    <s v="Auriculares"/>
    <x v="2"/>
    <x v="2"/>
    <n v="14"/>
    <n v="460.2"/>
    <n v="6442.8"/>
    <n v="7.5"/>
    <n v="48321"/>
    <x v="1"/>
  </r>
  <r>
    <x v="2"/>
    <x v="1"/>
    <s v="Cereal"/>
    <x v="2"/>
    <x v="8"/>
    <n v="3"/>
    <n v="110.48"/>
    <n v="331.44"/>
    <n v="8.2899999999999991"/>
    <n v="2747.64"/>
    <x v="1"/>
  </r>
  <r>
    <x v="4"/>
    <x v="2"/>
    <s v="Colchón"/>
    <x v="2"/>
    <x v="7"/>
    <n v="5"/>
    <n v="195.89"/>
    <n v="979.45"/>
    <n v="7.92"/>
    <n v="7757.24"/>
    <x v="1"/>
  </r>
  <r>
    <x v="0"/>
    <x v="3"/>
    <s v="Camisa"/>
    <x v="0"/>
    <x v="8"/>
    <n v="9"/>
    <n v="442.95"/>
    <n v="3986.55"/>
    <n v="7.89"/>
    <n v="31453.88"/>
    <x v="1"/>
  </r>
  <r>
    <x v="0"/>
    <x v="2"/>
    <s v="Colchón"/>
    <x v="0"/>
    <x v="10"/>
    <n v="10"/>
    <n v="98.3"/>
    <n v="983"/>
    <n v="7.69"/>
    <n v="7559.27"/>
    <x v="1"/>
  </r>
  <r>
    <x v="5"/>
    <x v="0"/>
    <s v="Smartphone"/>
    <x v="2"/>
    <x v="8"/>
    <n v="2"/>
    <n v="82.36"/>
    <n v="164.72"/>
    <n v="8.16"/>
    <n v="1344.12"/>
    <x v="1"/>
  </r>
  <r>
    <x v="5"/>
    <x v="2"/>
    <s v="Lámpara"/>
    <x v="1"/>
    <x v="10"/>
    <n v="5"/>
    <n v="213.47"/>
    <n v="1067.3499999999999"/>
    <n v="7.85"/>
    <n v="8378.7000000000007"/>
    <x v="1"/>
  </r>
  <r>
    <x v="5"/>
    <x v="2"/>
    <s v="Lámpara"/>
    <x v="1"/>
    <x v="4"/>
    <n v="20"/>
    <n v="314.06"/>
    <n v="6281.2"/>
    <n v="7.9"/>
    <n v="49621.48"/>
    <x v="1"/>
  </r>
  <r>
    <x v="0"/>
    <x v="0"/>
    <s v="Laptop"/>
    <x v="0"/>
    <x v="1"/>
    <n v="12"/>
    <n v="97.86"/>
    <n v="1174.32"/>
    <n v="8.18"/>
    <n v="9605.94"/>
    <x v="1"/>
  </r>
  <r>
    <x v="1"/>
    <x v="1"/>
    <s v="Cereal"/>
    <x v="2"/>
    <x v="3"/>
    <n v="12"/>
    <n v="195.46"/>
    <n v="2345.52"/>
    <n v="8.4600000000000009"/>
    <n v="19843.099999999999"/>
    <x v="1"/>
  </r>
  <r>
    <x v="4"/>
    <x v="2"/>
    <s v="Colchón"/>
    <x v="2"/>
    <x v="5"/>
    <n v="6"/>
    <n v="326.66000000000003"/>
    <n v="1959.96"/>
    <n v="8.2200000000000006"/>
    <n v="16110.87"/>
    <x v="1"/>
  </r>
  <r>
    <x v="1"/>
    <x v="2"/>
    <s v="Silla"/>
    <x v="0"/>
    <x v="1"/>
    <n v="12"/>
    <n v="103.75"/>
    <n v="1245"/>
    <n v="7.71"/>
    <n v="9598.9500000000007"/>
    <x v="1"/>
  </r>
  <r>
    <x v="5"/>
    <x v="0"/>
    <s v="Smartphone"/>
    <x v="0"/>
    <x v="5"/>
    <n v="19"/>
    <n v="28.01"/>
    <n v="532.19000000000005"/>
    <n v="7.93"/>
    <n v="4220.2700000000004"/>
    <x v="1"/>
  </r>
  <r>
    <x v="2"/>
    <x v="2"/>
    <s v="Mesa"/>
    <x v="0"/>
    <x v="0"/>
    <n v="7"/>
    <n v="86.21"/>
    <n v="603.47"/>
    <n v="8.39"/>
    <n v="5063.1099999999997"/>
    <x v="1"/>
  </r>
  <r>
    <x v="2"/>
    <x v="3"/>
    <s v="Chaqueta"/>
    <x v="3"/>
    <x v="8"/>
    <n v="3"/>
    <n v="434.96"/>
    <n v="1304.8800000000001"/>
    <n v="8.27"/>
    <n v="10791.36"/>
    <x v="1"/>
  </r>
  <r>
    <x v="5"/>
    <x v="0"/>
    <s v="Laptop"/>
    <x v="0"/>
    <x v="0"/>
    <n v="12"/>
    <n v="395.39"/>
    <n v="4744.68"/>
    <n v="8.44"/>
    <n v="40045.1"/>
    <x v="1"/>
  </r>
  <r>
    <x v="2"/>
    <x v="1"/>
    <s v="Café"/>
    <x v="3"/>
    <x v="8"/>
    <n v="11"/>
    <n v="108.71"/>
    <n v="1195.81"/>
    <n v="8.41"/>
    <n v="10056.76"/>
    <x v="1"/>
  </r>
  <r>
    <x v="3"/>
    <x v="2"/>
    <s v="Mesa"/>
    <x v="2"/>
    <x v="5"/>
    <n v="7"/>
    <n v="258.58999999999997"/>
    <n v="1810.13"/>
    <n v="8"/>
    <n v="14481.04"/>
    <x v="1"/>
  </r>
  <r>
    <x v="4"/>
    <x v="2"/>
    <s v="Lámpara"/>
    <x v="0"/>
    <x v="1"/>
    <n v="12"/>
    <n v="70.34"/>
    <n v="844.08"/>
    <n v="7.52"/>
    <n v="6347.48"/>
    <x v="1"/>
  </r>
  <r>
    <x v="0"/>
    <x v="2"/>
    <s v="Colchón"/>
    <x v="1"/>
    <x v="8"/>
    <n v="15"/>
    <n v="27.55"/>
    <n v="413.25"/>
    <n v="7.95"/>
    <n v="3285.34"/>
    <x v="1"/>
  </r>
  <r>
    <x v="1"/>
    <x v="1"/>
    <s v="Aceite"/>
    <x v="2"/>
    <x v="9"/>
    <n v="13"/>
    <n v="369.42"/>
    <n v="4802.46"/>
    <n v="8.27"/>
    <n v="39716.339999999997"/>
    <x v="1"/>
  </r>
  <r>
    <x v="2"/>
    <x v="1"/>
    <s v="Aceite"/>
    <x v="1"/>
    <x v="5"/>
    <n v="6"/>
    <n v="362.72"/>
    <n v="2176.3200000000002"/>
    <n v="7.7"/>
    <n v="16757.66"/>
    <x v="1"/>
  </r>
  <r>
    <x v="0"/>
    <x v="4"/>
    <s v="Balón"/>
    <x v="1"/>
    <x v="6"/>
    <n v="19"/>
    <n v="63.76"/>
    <n v="1211.44"/>
    <n v="7.59"/>
    <n v="9194.83"/>
    <x v="1"/>
  </r>
  <r>
    <x v="3"/>
    <x v="0"/>
    <s v="Monitor"/>
    <x v="3"/>
    <x v="0"/>
    <n v="7"/>
    <n v="317.31"/>
    <n v="2221.17"/>
    <n v="7.7"/>
    <n v="17103.009999999998"/>
    <x v="1"/>
  </r>
  <r>
    <x v="0"/>
    <x v="3"/>
    <s v="Chaqueta"/>
    <x v="3"/>
    <x v="2"/>
    <n v="8"/>
    <n v="201.99"/>
    <n v="1615.92"/>
    <n v="8.31"/>
    <n v="13428.3"/>
    <x v="1"/>
  </r>
  <r>
    <x v="2"/>
    <x v="3"/>
    <s v="Pantalón"/>
    <x v="0"/>
    <x v="11"/>
    <n v="8"/>
    <n v="476.39"/>
    <n v="3811.12"/>
    <n v="7.73"/>
    <n v="29459.96"/>
    <x v="1"/>
  </r>
  <r>
    <x v="5"/>
    <x v="2"/>
    <s v="Lámpara"/>
    <x v="2"/>
    <x v="0"/>
    <n v="13"/>
    <n v="219.31"/>
    <n v="2851.03"/>
    <n v="8"/>
    <n v="22808.240000000002"/>
    <x v="1"/>
  </r>
  <r>
    <x v="0"/>
    <x v="4"/>
    <s v="Guantes"/>
    <x v="1"/>
    <x v="0"/>
    <n v="3"/>
    <n v="185.54"/>
    <n v="556.62"/>
    <n v="7.52"/>
    <n v="4185.78"/>
    <x v="1"/>
  </r>
  <r>
    <x v="2"/>
    <x v="0"/>
    <s v="Laptop"/>
    <x v="0"/>
    <x v="11"/>
    <n v="3"/>
    <n v="105.74"/>
    <n v="317.22000000000003"/>
    <n v="7.78"/>
    <n v="2467.9699999999998"/>
    <x v="1"/>
  </r>
  <r>
    <x v="3"/>
    <x v="3"/>
    <s v="Camisa"/>
    <x v="2"/>
    <x v="6"/>
    <n v="13"/>
    <n v="111.35"/>
    <n v="1447.55"/>
    <n v="8.2100000000000009"/>
    <n v="11884.39"/>
    <x v="1"/>
  </r>
  <r>
    <x v="4"/>
    <x v="1"/>
    <s v="Azúcar"/>
    <x v="1"/>
    <x v="6"/>
    <n v="19"/>
    <n v="229.67"/>
    <n v="4363.7299999999996"/>
    <n v="7.6"/>
    <n v="33164.35"/>
    <x v="1"/>
  </r>
  <r>
    <x v="5"/>
    <x v="1"/>
    <s v="Azúcar"/>
    <x v="0"/>
    <x v="4"/>
    <n v="1"/>
    <n v="405.05"/>
    <n v="405.05"/>
    <n v="7.86"/>
    <n v="3183.69"/>
    <x v="1"/>
  </r>
  <r>
    <x v="2"/>
    <x v="1"/>
    <s v="Cereal"/>
    <x v="2"/>
    <x v="1"/>
    <n v="13"/>
    <n v="291.36"/>
    <n v="3787.68"/>
    <n v="7.71"/>
    <n v="29203.01"/>
    <x v="1"/>
  </r>
  <r>
    <x v="0"/>
    <x v="3"/>
    <s v="Camisa"/>
    <x v="2"/>
    <x v="1"/>
    <n v="13"/>
    <n v="445.26"/>
    <n v="5788.38"/>
    <n v="7.9"/>
    <n v="45728.2"/>
    <x v="1"/>
  </r>
  <r>
    <x v="0"/>
    <x v="2"/>
    <s v="Colchón"/>
    <x v="0"/>
    <x v="3"/>
    <n v="7"/>
    <n v="48.91"/>
    <n v="342.37"/>
    <n v="7.64"/>
    <n v="2615.71"/>
    <x v="1"/>
  </r>
  <r>
    <x v="4"/>
    <x v="4"/>
    <s v="Cuerda"/>
    <x v="2"/>
    <x v="0"/>
    <n v="5"/>
    <n v="224.29"/>
    <n v="1121.45"/>
    <n v="7.56"/>
    <n v="8478.16"/>
    <x v="1"/>
  </r>
  <r>
    <x v="2"/>
    <x v="0"/>
    <s v="Smartphone"/>
    <x v="1"/>
    <x v="2"/>
    <n v="18"/>
    <n v="199.55"/>
    <n v="3591.9"/>
    <n v="8.08"/>
    <n v="29022.55"/>
    <x v="1"/>
  </r>
  <r>
    <x v="5"/>
    <x v="4"/>
    <s v="Cuerda"/>
    <x v="0"/>
    <x v="9"/>
    <n v="8"/>
    <n v="236.93"/>
    <n v="1895.44"/>
    <n v="7.99"/>
    <n v="15144.57"/>
    <x v="1"/>
  </r>
  <r>
    <x v="2"/>
    <x v="1"/>
    <s v="Aceite"/>
    <x v="2"/>
    <x v="3"/>
    <n v="13"/>
    <n v="63.46"/>
    <n v="824.98"/>
    <n v="7.81"/>
    <n v="6443.09"/>
    <x v="1"/>
  </r>
  <r>
    <x v="2"/>
    <x v="1"/>
    <s v="Café"/>
    <x v="2"/>
    <x v="3"/>
    <n v="10"/>
    <n v="200.98"/>
    <n v="2009.8"/>
    <n v="7.55"/>
    <n v="15173.99"/>
    <x v="1"/>
  </r>
  <r>
    <x v="4"/>
    <x v="4"/>
    <s v="Balón"/>
    <x v="2"/>
    <x v="10"/>
    <n v="2"/>
    <n v="206.77"/>
    <n v="413.54"/>
    <n v="7.88"/>
    <n v="3258.7"/>
    <x v="1"/>
  </r>
  <r>
    <x v="0"/>
    <x v="0"/>
    <s v="Laptop"/>
    <x v="1"/>
    <x v="9"/>
    <n v="4"/>
    <n v="477.44"/>
    <n v="1909.76"/>
    <n v="8.01"/>
    <n v="15297.18"/>
    <x v="1"/>
  </r>
  <r>
    <x v="3"/>
    <x v="1"/>
    <s v="Aceite"/>
    <x v="0"/>
    <x v="11"/>
    <n v="8"/>
    <n v="360.03"/>
    <n v="2880.24"/>
    <n v="7.93"/>
    <n v="22840.3"/>
    <x v="1"/>
  </r>
  <r>
    <x v="3"/>
    <x v="3"/>
    <s v="Chaqueta"/>
    <x v="1"/>
    <x v="3"/>
    <n v="5"/>
    <n v="393.04"/>
    <n v="1965.2"/>
    <n v="8.0399999999999991"/>
    <n v="15800.21"/>
    <x v="1"/>
  </r>
  <r>
    <x v="1"/>
    <x v="2"/>
    <s v="Silla"/>
    <x v="0"/>
    <x v="8"/>
    <n v="19"/>
    <n v="397.37"/>
    <n v="7550.03"/>
    <n v="7.81"/>
    <n v="58965.73"/>
    <x v="1"/>
  </r>
  <r>
    <x v="3"/>
    <x v="0"/>
    <s v="Monitor"/>
    <x v="3"/>
    <x v="6"/>
    <n v="3"/>
    <n v="184.48"/>
    <n v="553.44000000000005"/>
    <n v="7.93"/>
    <n v="4388.78"/>
    <x v="1"/>
  </r>
  <r>
    <x v="0"/>
    <x v="0"/>
    <s v="Auriculares"/>
    <x v="0"/>
    <x v="6"/>
    <n v="14"/>
    <n v="204.59"/>
    <n v="2864.26"/>
    <n v="8.07"/>
    <n v="23114.58"/>
    <x v="1"/>
  </r>
  <r>
    <x v="5"/>
    <x v="0"/>
    <s v="Smartphone"/>
    <x v="2"/>
    <x v="3"/>
    <n v="4"/>
    <n v="171.22"/>
    <n v="684.88"/>
    <n v="8.15"/>
    <n v="5581.77"/>
    <x v="1"/>
  </r>
  <r>
    <x v="5"/>
    <x v="4"/>
    <s v="Bicicleta"/>
    <x v="3"/>
    <x v="2"/>
    <n v="18"/>
    <n v="122.84"/>
    <n v="2211.12"/>
    <n v="8.25"/>
    <n v="18241.740000000002"/>
    <x v="1"/>
  </r>
  <r>
    <x v="5"/>
    <x v="4"/>
    <s v="Bicicleta"/>
    <x v="0"/>
    <x v="7"/>
    <n v="10"/>
    <n v="58.68"/>
    <n v="586.79999999999995"/>
    <n v="7.54"/>
    <n v="4424.47"/>
    <x v="1"/>
  </r>
  <r>
    <x v="1"/>
    <x v="1"/>
    <s v="Cereal"/>
    <x v="1"/>
    <x v="11"/>
    <n v="11"/>
    <n v="97.82"/>
    <n v="1076.02"/>
    <n v="8.24"/>
    <n v="8866.4"/>
    <x v="1"/>
  </r>
  <r>
    <x v="2"/>
    <x v="4"/>
    <s v="Guantes"/>
    <x v="1"/>
    <x v="5"/>
    <n v="11"/>
    <n v="437.07"/>
    <n v="4807.7700000000004"/>
    <n v="8.36"/>
    <n v="40192.959999999999"/>
    <x v="1"/>
  </r>
  <r>
    <x v="5"/>
    <x v="3"/>
    <s v="Pantalón"/>
    <x v="2"/>
    <x v="8"/>
    <n v="18"/>
    <n v="136.15"/>
    <n v="2450.6999999999998"/>
    <n v="8.24"/>
    <n v="20193.77"/>
    <x v="1"/>
  </r>
  <r>
    <x v="3"/>
    <x v="4"/>
    <s v="Cuerda"/>
    <x v="1"/>
    <x v="8"/>
    <n v="12"/>
    <n v="96.87"/>
    <n v="1162.44"/>
    <n v="8.4600000000000009"/>
    <n v="9834.24"/>
    <x v="1"/>
  </r>
  <r>
    <x v="1"/>
    <x v="3"/>
    <s v="Pantalón"/>
    <x v="0"/>
    <x v="0"/>
    <n v="9"/>
    <n v="467.41"/>
    <n v="4206.6899999999996"/>
    <n v="8.4700000000000006"/>
    <n v="35630.660000000003"/>
    <x v="1"/>
  </r>
  <r>
    <x v="5"/>
    <x v="1"/>
    <s v="Cereal"/>
    <x v="0"/>
    <x v="1"/>
    <n v="9"/>
    <n v="259.8"/>
    <n v="2338.1999999999998"/>
    <n v="8.0399999999999991"/>
    <n v="18799.13"/>
    <x v="1"/>
  </r>
  <r>
    <x v="3"/>
    <x v="3"/>
    <s v="Chaqueta"/>
    <x v="0"/>
    <x v="8"/>
    <n v="1"/>
    <n v="229.43"/>
    <n v="229.43"/>
    <n v="8.42"/>
    <n v="1931.8"/>
    <x v="1"/>
  </r>
  <r>
    <x v="3"/>
    <x v="2"/>
    <s v="Colchón"/>
    <x v="3"/>
    <x v="7"/>
    <n v="19"/>
    <n v="149.27000000000001"/>
    <n v="2836.13"/>
    <n v="7.88"/>
    <n v="22348.7"/>
    <x v="1"/>
  </r>
  <r>
    <x v="4"/>
    <x v="2"/>
    <s v="Silla"/>
    <x v="1"/>
    <x v="0"/>
    <n v="2"/>
    <n v="374.19"/>
    <n v="748.38"/>
    <n v="7.93"/>
    <n v="5934.65"/>
    <x v="1"/>
  </r>
  <r>
    <x v="5"/>
    <x v="3"/>
    <s v="Zapatos"/>
    <x v="0"/>
    <x v="8"/>
    <n v="16"/>
    <n v="51.92"/>
    <n v="830.72"/>
    <n v="7.55"/>
    <n v="6271.94"/>
    <x v="1"/>
  </r>
  <r>
    <x v="3"/>
    <x v="1"/>
    <s v="Aceite"/>
    <x v="3"/>
    <x v="10"/>
    <n v="15"/>
    <n v="329.2"/>
    <n v="4938"/>
    <n v="7.59"/>
    <n v="37479.42"/>
    <x v="1"/>
  </r>
  <r>
    <x v="3"/>
    <x v="3"/>
    <s v="Pantalón"/>
    <x v="3"/>
    <x v="2"/>
    <n v="15"/>
    <n v="303.01"/>
    <n v="4545.1499999999996"/>
    <n v="7.83"/>
    <n v="35588.519999999997"/>
    <x v="1"/>
  </r>
  <r>
    <x v="4"/>
    <x v="4"/>
    <s v="Bicicleta"/>
    <x v="3"/>
    <x v="5"/>
    <n v="15"/>
    <n v="120.9"/>
    <n v="1813.5"/>
    <n v="7.84"/>
    <n v="14217.84"/>
    <x v="1"/>
  </r>
  <r>
    <x v="5"/>
    <x v="2"/>
    <s v="Colchón"/>
    <x v="1"/>
    <x v="1"/>
    <n v="12"/>
    <n v="105.23"/>
    <n v="1262.76"/>
    <n v="7.52"/>
    <n v="9495.9599999999991"/>
    <x v="1"/>
  </r>
  <r>
    <x v="3"/>
    <x v="0"/>
    <s v="Monitor"/>
    <x v="2"/>
    <x v="2"/>
    <n v="5"/>
    <n v="65.87"/>
    <n v="329.35"/>
    <n v="7.86"/>
    <n v="2588.69"/>
    <x v="1"/>
  </r>
  <r>
    <x v="1"/>
    <x v="3"/>
    <s v="Zapatos"/>
    <x v="1"/>
    <x v="7"/>
    <n v="11"/>
    <n v="323.69"/>
    <n v="3560.59"/>
    <n v="7.63"/>
    <n v="27167.3"/>
    <x v="1"/>
  </r>
  <r>
    <x v="2"/>
    <x v="4"/>
    <s v="Guantes"/>
    <x v="1"/>
    <x v="6"/>
    <n v="20"/>
    <n v="115.67"/>
    <n v="2313.4"/>
    <n v="7.98"/>
    <n v="18460.93"/>
    <x v="1"/>
  </r>
  <r>
    <x v="0"/>
    <x v="2"/>
    <s v="Silla"/>
    <x v="3"/>
    <x v="6"/>
    <n v="15"/>
    <n v="168.69"/>
    <n v="2530.35"/>
    <n v="7.64"/>
    <n v="19331.87"/>
    <x v="1"/>
  </r>
  <r>
    <x v="1"/>
    <x v="3"/>
    <s v="Chaqueta"/>
    <x v="1"/>
    <x v="11"/>
    <n v="13"/>
    <n v="360.51"/>
    <n v="4686.63"/>
    <n v="8.19"/>
    <n v="38383.5"/>
    <x v="1"/>
  </r>
  <r>
    <x v="3"/>
    <x v="0"/>
    <s v="Laptop"/>
    <x v="3"/>
    <x v="9"/>
    <n v="19"/>
    <n v="175.02"/>
    <n v="3325.38"/>
    <n v="7.64"/>
    <n v="25405.9"/>
    <x v="1"/>
  </r>
  <r>
    <x v="0"/>
    <x v="2"/>
    <s v="Mesa"/>
    <x v="3"/>
    <x v="1"/>
    <n v="11"/>
    <n v="341.52"/>
    <n v="3756.72"/>
    <n v="8.39"/>
    <n v="31518.880000000001"/>
    <x v="1"/>
  </r>
  <r>
    <x v="3"/>
    <x v="1"/>
    <s v="Azúcar"/>
    <x v="1"/>
    <x v="9"/>
    <n v="11"/>
    <n v="143.28"/>
    <n v="1576.08"/>
    <n v="7.58"/>
    <n v="11946.69"/>
    <x v="1"/>
  </r>
  <r>
    <x v="5"/>
    <x v="0"/>
    <s v="Auriculares"/>
    <x v="2"/>
    <x v="11"/>
    <n v="9"/>
    <n v="14.5"/>
    <n v="130.5"/>
    <n v="8.48"/>
    <n v="1106.6400000000001"/>
    <x v="1"/>
  </r>
  <r>
    <x v="5"/>
    <x v="1"/>
    <s v="Azúcar"/>
    <x v="0"/>
    <x v="1"/>
    <n v="10"/>
    <n v="317.98"/>
    <n v="3179.8"/>
    <n v="7.69"/>
    <n v="24452.66"/>
    <x v="1"/>
  </r>
  <r>
    <x v="3"/>
    <x v="1"/>
    <s v="Café"/>
    <x v="3"/>
    <x v="0"/>
    <n v="19"/>
    <n v="199.71"/>
    <n v="3794.49"/>
    <n v="8.1"/>
    <n v="30735.37"/>
    <x v="1"/>
  </r>
  <r>
    <x v="4"/>
    <x v="3"/>
    <s v="Zapatos"/>
    <x v="2"/>
    <x v="2"/>
    <n v="9"/>
    <n v="309.41000000000003"/>
    <n v="2784.69"/>
    <n v="8.26"/>
    <n v="23001.54"/>
    <x v="1"/>
  </r>
  <r>
    <x v="0"/>
    <x v="3"/>
    <s v="Camisa"/>
    <x v="0"/>
    <x v="9"/>
    <n v="8"/>
    <n v="108.84"/>
    <n v="870.72"/>
    <n v="8.07"/>
    <n v="7026.71"/>
    <x v="1"/>
  </r>
  <r>
    <x v="0"/>
    <x v="2"/>
    <s v="Silla"/>
    <x v="2"/>
    <x v="4"/>
    <n v="4"/>
    <n v="169.57"/>
    <n v="678.28"/>
    <n v="8.34"/>
    <n v="5656.86"/>
    <x v="1"/>
  </r>
  <r>
    <x v="1"/>
    <x v="3"/>
    <s v="Camisa"/>
    <x v="3"/>
    <x v="1"/>
    <n v="20"/>
    <n v="365.86"/>
    <n v="7317.2"/>
    <n v="7.93"/>
    <n v="58025.4"/>
    <x v="1"/>
  </r>
  <r>
    <x v="0"/>
    <x v="2"/>
    <s v="Mesa"/>
    <x v="0"/>
    <x v="8"/>
    <n v="10"/>
    <n v="453.17"/>
    <n v="4531.7"/>
    <n v="7.96"/>
    <n v="36072.33"/>
    <x v="1"/>
  </r>
  <r>
    <x v="1"/>
    <x v="4"/>
    <s v="Guantes"/>
    <x v="2"/>
    <x v="1"/>
    <n v="8"/>
    <n v="361.11"/>
    <n v="2888.88"/>
    <n v="7.73"/>
    <n v="22331.040000000001"/>
    <x v="1"/>
  </r>
  <r>
    <x v="1"/>
    <x v="1"/>
    <s v="Café"/>
    <x v="0"/>
    <x v="7"/>
    <n v="4"/>
    <n v="464.39"/>
    <n v="1857.56"/>
    <n v="8.31"/>
    <n v="15436.32"/>
    <x v="1"/>
  </r>
  <r>
    <x v="0"/>
    <x v="2"/>
    <s v="Lámpara"/>
    <x v="1"/>
    <x v="5"/>
    <n v="19"/>
    <n v="123.26"/>
    <n v="2341.94"/>
    <n v="8.1199999999999992"/>
    <n v="19016.55"/>
    <x v="1"/>
  </r>
  <r>
    <x v="4"/>
    <x v="2"/>
    <s v="Mesa"/>
    <x v="3"/>
    <x v="11"/>
    <n v="11"/>
    <n v="238.69"/>
    <n v="2625.59"/>
    <n v="8.2899999999999991"/>
    <n v="21766.14"/>
    <x v="1"/>
  </r>
  <r>
    <x v="5"/>
    <x v="3"/>
    <s v="Pantalón"/>
    <x v="3"/>
    <x v="3"/>
    <n v="18"/>
    <n v="167.54"/>
    <n v="3015.72"/>
    <n v="8.3800000000000008"/>
    <n v="25271.73"/>
    <x v="1"/>
  </r>
  <r>
    <x v="5"/>
    <x v="2"/>
    <s v="Colchón"/>
    <x v="1"/>
    <x v="5"/>
    <n v="12"/>
    <n v="496.21"/>
    <n v="5954.52"/>
    <n v="8.17"/>
    <n v="48648.43"/>
    <x v="1"/>
  </r>
  <r>
    <x v="4"/>
    <x v="3"/>
    <s v="Zapatos"/>
    <x v="2"/>
    <x v="8"/>
    <n v="14"/>
    <n v="160.16999999999999"/>
    <n v="2242.38"/>
    <n v="7.73"/>
    <n v="17333.599999999999"/>
    <x v="1"/>
  </r>
  <r>
    <x v="4"/>
    <x v="0"/>
    <s v="Smartphone"/>
    <x v="1"/>
    <x v="3"/>
    <n v="9"/>
    <n v="411.26"/>
    <n v="3701.34"/>
    <n v="8.32"/>
    <n v="30795.15"/>
    <x v="1"/>
  </r>
  <r>
    <x v="0"/>
    <x v="4"/>
    <s v="Cuerda"/>
    <x v="2"/>
    <x v="4"/>
    <n v="16"/>
    <n v="451"/>
    <n v="7216"/>
    <n v="7.9"/>
    <n v="57006.400000000001"/>
    <x v="1"/>
  </r>
  <r>
    <x v="3"/>
    <x v="1"/>
    <s v="Azúcar"/>
    <x v="3"/>
    <x v="11"/>
    <n v="9"/>
    <n v="122.2"/>
    <n v="1099.8"/>
    <n v="8.26"/>
    <n v="9084.35"/>
    <x v="1"/>
  </r>
  <r>
    <x v="2"/>
    <x v="0"/>
    <s v="Auriculares"/>
    <x v="2"/>
    <x v="3"/>
    <n v="14"/>
    <n v="472.06"/>
    <n v="6608.84"/>
    <n v="8.48"/>
    <n v="56042.96"/>
    <x v="1"/>
  </r>
  <r>
    <x v="5"/>
    <x v="0"/>
    <s v="Auriculares"/>
    <x v="2"/>
    <x v="3"/>
    <n v="4"/>
    <n v="489.78"/>
    <n v="1959.12"/>
    <n v="7.57"/>
    <n v="14830.54"/>
    <x v="1"/>
  </r>
  <r>
    <x v="2"/>
    <x v="2"/>
    <s v="Colchón"/>
    <x v="0"/>
    <x v="8"/>
    <n v="8"/>
    <n v="95.46"/>
    <n v="763.68"/>
    <n v="7.96"/>
    <n v="6078.89"/>
    <x v="1"/>
  </r>
  <r>
    <x v="3"/>
    <x v="0"/>
    <s v="Smartphone"/>
    <x v="2"/>
    <x v="11"/>
    <n v="18"/>
    <n v="283.33999999999997"/>
    <n v="5100.12"/>
    <n v="7.93"/>
    <n v="40443.949999999997"/>
    <x v="1"/>
  </r>
  <r>
    <x v="2"/>
    <x v="2"/>
    <s v="Colchón"/>
    <x v="3"/>
    <x v="3"/>
    <n v="4"/>
    <n v="49.87"/>
    <n v="199.48"/>
    <n v="8.4700000000000006"/>
    <n v="1689.6"/>
    <x v="1"/>
  </r>
  <r>
    <x v="1"/>
    <x v="3"/>
    <s v="Pantalón"/>
    <x v="3"/>
    <x v="7"/>
    <n v="15"/>
    <n v="350.95"/>
    <n v="5264.25"/>
    <n v="7.96"/>
    <n v="41903.43"/>
    <x v="1"/>
  </r>
  <r>
    <x v="4"/>
    <x v="4"/>
    <s v="Guantes"/>
    <x v="1"/>
    <x v="9"/>
    <n v="1"/>
    <n v="85.92"/>
    <n v="85.92"/>
    <n v="7.8"/>
    <n v="670.18"/>
    <x v="1"/>
  </r>
  <r>
    <x v="4"/>
    <x v="3"/>
    <s v="Chaqueta"/>
    <x v="3"/>
    <x v="10"/>
    <n v="1"/>
    <n v="191.29"/>
    <n v="191.29"/>
    <n v="7.8"/>
    <n v="1492.06"/>
    <x v="1"/>
  </r>
  <r>
    <x v="0"/>
    <x v="2"/>
    <s v="Lámpara"/>
    <x v="2"/>
    <x v="11"/>
    <n v="16"/>
    <n v="201.45"/>
    <n v="3223.2"/>
    <n v="8.1199999999999992"/>
    <n v="26172.38"/>
    <x v="1"/>
  </r>
  <r>
    <x v="1"/>
    <x v="0"/>
    <s v="Laptop"/>
    <x v="3"/>
    <x v="2"/>
    <n v="8"/>
    <n v="88.38"/>
    <n v="707.04"/>
    <n v="8.0299999999999994"/>
    <n v="5677.53"/>
    <x v="1"/>
  </r>
  <r>
    <x v="5"/>
    <x v="1"/>
    <s v="Azúcar"/>
    <x v="0"/>
    <x v="11"/>
    <n v="4"/>
    <n v="133.30000000000001"/>
    <n v="533.20000000000005"/>
    <n v="8.34"/>
    <n v="4446.8900000000003"/>
    <x v="1"/>
  </r>
  <r>
    <x v="0"/>
    <x v="0"/>
    <s v="Auriculares"/>
    <x v="0"/>
    <x v="6"/>
    <n v="15"/>
    <n v="425.16"/>
    <n v="6377.4"/>
    <n v="7.65"/>
    <n v="48787.11"/>
    <x v="1"/>
  </r>
  <r>
    <x v="5"/>
    <x v="2"/>
    <s v="Lámpara"/>
    <x v="0"/>
    <x v="4"/>
    <n v="16"/>
    <n v="373.84"/>
    <n v="5981.44"/>
    <n v="7.84"/>
    <n v="46894.49"/>
    <x v="1"/>
  </r>
  <r>
    <x v="2"/>
    <x v="2"/>
    <s v="Silla"/>
    <x v="1"/>
    <x v="4"/>
    <n v="14"/>
    <n v="84.86"/>
    <n v="1188.04"/>
    <n v="8.4600000000000009"/>
    <n v="10050.82"/>
    <x v="1"/>
  </r>
  <r>
    <x v="4"/>
    <x v="1"/>
    <s v="Café"/>
    <x v="2"/>
    <x v="4"/>
    <n v="20"/>
    <n v="229.76"/>
    <n v="4595.2"/>
    <n v="8.4"/>
    <n v="38599.68"/>
    <x v="1"/>
  </r>
  <r>
    <x v="3"/>
    <x v="4"/>
    <s v="Balón"/>
    <x v="0"/>
    <x v="7"/>
    <n v="9"/>
    <n v="110.9"/>
    <n v="998.1"/>
    <n v="8.25"/>
    <n v="8234.33"/>
    <x v="1"/>
  </r>
  <r>
    <x v="3"/>
    <x v="1"/>
    <s v="Azúcar"/>
    <x v="1"/>
    <x v="1"/>
    <n v="16"/>
    <n v="220.37"/>
    <n v="3525.92"/>
    <n v="8.3800000000000008"/>
    <n v="29547.21"/>
    <x v="1"/>
  </r>
  <r>
    <x v="0"/>
    <x v="2"/>
    <s v="Silla"/>
    <x v="1"/>
    <x v="9"/>
    <n v="16"/>
    <n v="313.22000000000003"/>
    <n v="5011.5200000000004"/>
    <n v="7.61"/>
    <n v="38137.67"/>
    <x v="1"/>
  </r>
  <r>
    <x v="4"/>
    <x v="0"/>
    <s v="Auriculares"/>
    <x v="3"/>
    <x v="1"/>
    <n v="20"/>
    <n v="270.86"/>
    <n v="5417.2"/>
    <n v="7.69"/>
    <n v="41658.269999999997"/>
    <x v="1"/>
  </r>
  <r>
    <x v="0"/>
    <x v="1"/>
    <s v="Azúcar"/>
    <x v="2"/>
    <x v="2"/>
    <n v="13"/>
    <n v="169.63"/>
    <n v="2205.19"/>
    <n v="8.43"/>
    <n v="18589.75"/>
    <x v="1"/>
  </r>
  <r>
    <x v="1"/>
    <x v="3"/>
    <s v="Chaqueta"/>
    <x v="3"/>
    <x v="4"/>
    <n v="7"/>
    <n v="129.54"/>
    <n v="906.78"/>
    <n v="7.99"/>
    <n v="7245.17"/>
    <x v="1"/>
  </r>
  <r>
    <x v="2"/>
    <x v="1"/>
    <s v="Aceite"/>
    <x v="2"/>
    <x v="5"/>
    <n v="8"/>
    <n v="18.16"/>
    <n v="145.28"/>
    <n v="8.3699999999999992"/>
    <n v="1215.99"/>
    <x v="1"/>
  </r>
  <r>
    <x v="1"/>
    <x v="2"/>
    <s v="Colchón"/>
    <x v="2"/>
    <x v="9"/>
    <n v="6"/>
    <n v="100.43"/>
    <n v="602.58000000000004"/>
    <n v="7.52"/>
    <n v="4531.3999999999996"/>
    <x v="1"/>
  </r>
  <r>
    <x v="1"/>
    <x v="3"/>
    <s v="Chaqueta"/>
    <x v="2"/>
    <x v="9"/>
    <n v="5"/>
    <n v="431.85"/>
    <n v="2159.25"/>
    <n v="8.1"/>
    <n v="17489.919999999998"/>
    <x v="1"/>
  </r>
  <r>
    <x v="2"/>
    <x v="3"/>
    <s v="Zapatos"/>
    <x v="1"/>
    <x v="6"/>
    <n v="14"/>
    <n v="300.89999999999998"/>
    <n v="4212.6000000000004"/>
    <n v="7.99"/>
    <n v="33658.67"/>
    <x v="1"/>
  </r>
  <r>
    <x v="1"/>
    <x v="4"/>
    <s v="Guantes"/>
    <x v="1"/>
    <x v="3"/>
    <n v="12"/>
    <n v="478.83"/>
    <n v="5745.96"/>
    <n v="8.32"/>
    <n v="47806.39"/>
    <x v="1"/>
  </r>
  <r>
    <x v="2"/>
    <x v="3"/>
    <s v="Pantalón"/>
    <x v="3"/>
    <x v="4"/>
    <n v="6"/>
    <n v="105.14"/>
    <n v="630.84"/>
    <n v="8.1199999999999992"/>
    <n v="5122.42"/>
    <x v="1"/>
  </r>
  <r>
    <x v="1"/>
    <x v="4"/>
    <s v="Cuerda"/>
    <x v="2"/>
    <x v="10"/>
    <n v="7"/>
    <n v="24.76"/>
    <n v="173.32"/>
    <n v="8.42"/>
    <n v="1459.35"/>
    <x v="1"/>
  </r>
  <r>
    <x v="5"/>
    <x v="0"/>
    <s v="Monitor"/>
    <x v="1"/>
    <x v="0"/>
    <n v="1"/>
    <n v="208.62"/>
    <n v="208.62"/>
    <n v="7.89"/>
    <n v="1646.01"/>
    <x v="1"/>
  </r>
  <r>
    <x v="1"/>
    <x v="3"/>
    <s v="Pantalón"/>
    <x v="0"/>
    <x v="11"/>
    <n v="5"/>
    <n v="87.45"/>
    <n v="437.25"/>
    <n v="8.4"/>
    <n v="3672.9"/>
    <x v="1"/>
  </r>
  <r>
    <x v="3"/>
    <x v="2"/>
    <s v="Lámpara"/>
    <x v="1"/>
    <x v="10"/>
    <n v="4"/>
    <n v="374.06"/>
    <n v="1496.24"/>
    <n v="7.53"/>
    <n v="11266.69"/>
    <x v="1"/>
  </r>
  <r>
    <x v="2"/>
    <x v="0"/>
    <s v="Laptop"/>
    <x v="3"/>
    <x v="1"/>
    <n v="18"/>
    <n v="153.19"/>
    <n v="2757.42"/>
    <n v="7.97"/>
    <n v="21976.639999999999"/>
    <x v="1"/>
  </r>
  <r>
    <x v="3"/>
    <x v="2"/>
    <s v="Silla"/>
    <x v="3"/>
    <x v="9"/>
    <n v="7"/>
    <n v="128.01"/>
    <n v="896.07"/>
    <n v="7.72"/>
    <n v="6917.66"/>
    <x v="1"/>
  </r>
  <r>
    <x v="5"/>
    <x v="3"/>
    <s v="Camisa"/>
    <x v="1"/>
    <x v="9"/>
    <n v="8"/>
    <n v="344.52"/>
    <n v="2756.16"/>
    <n v="8.4700000000000006"/>
    <n v="23344.68"/>
    <x v="1"/>
  </r>
  <r>
    <x v="1"/>
    <x v="1"/>
    <s v="Azúcar"/>
    <x v="0"/>
    <x v="0"/>
    <n v="7"/>
    <n v="316.43"/>
    <n v="2215.0100000000002"/>
    <n v="7.53"/>
    <n v="16679.03"/>
    <x v="1"/>
  </r>
  <r>
    <x v="2"/>
    <x v="1"/>
    <s v="Cereal"/>
    <x v="0"/>
    <x v="0"/>
    <n v="2"/>
    <n v="377.44"/>
    <n v="754.88"/>
    <n v="7.65"/>
    <n v="5774.83"/>
    <x v="1"/>
  </r>
  <r>
    <x v="1"/>
    <x v="3"/>
    <s v="Pantalón"/>
    <x v="1"/>
    <x v="1"/>
    <n v="2"/>
    <n v="362.82"/>
    <n v="725.64"/>
    <n v="7.95"/>
    <n v="5768.84"/>
    <x v="1"/>
  </r>
  <r>
    <x v="0"/>
    <x v="3"/>
    <s v="Pantalón"/>
    <x v="3"/>
    <x v="7"/>
    <n v="9"/>
    <n v="196.96"/>
    <n v="1772.64"/>
    <n v="8.0500000000000007"/>
    <n v="14269.75"/>
    <x v="1"/>
  </r>
  <r>
    <x v="0"/>
    <x v="4"/>
    <s v="Balón"/>
    <x v="1"/>
    <x v="1"/>
    <n v="12"/>
    <n v="88.77"/>
    <n v="1065.24"/>
    <n v="8.44"/>
    <n v="8990.6299999999992"/>
    <x v="1"/>
  </r>
  <r>
    <x v="1"/>
    <x v="2"/>
    <s v="Colchón"/>
    <x v="1"/>
    <x v="1"/>
    <n v="17"/>
    <n v="199.14"/>
    <n v="3385.38"/>
    <n v="8.26"/>
    <n v="27963.24"/>
    <x v="1"/>
  </r>
  <r>
    <x v="0"/>
    <x v="4"/>
    <s v="Cuerda"/>
    <x v="1"/>
    <x v="4"/>
    <n v="9"/>
    <n v="152.69"/>
    <n v="1374.21"/>
    <n v="8.31"/>
    <n v="11419.69"/>
    <x v="1"/>
  </r>
  <r>
    <x v="2"/>
    <x v="0"/>
    <s v="Smartphone"/>
    <x v="2"/>
    <x v="5"/>
    <n v="6"/>
    <n v="192.88"/>
    <n v="1157.28"/>
    <n v="8.34"/>
    <n v="9651.7199999999993"/>
    <x v="1"/>
  </r>
  <r>
    <x v="0"/>
    <x v="0"/>
    <s v="Auriculares"/>
    <x v="3"/>
    <x v="9"/>
    <n v="9"/>
    <n v="284.41000000000003"/>
    <n v="2559.69"/>
    <n v="7.88"/>
    <n v="20170.36"/>
    <x v="1"/>
  </r>
  <r>
    <x v="1"/>
    <x v="4"/>
    <s v="Guantes"/>
    <x v="3"/>
    <x v="5"/>
    <n v="20"/>
    <n v="395.63"/>
    <n v="7912.6"/>
    <n v="8.07"/>
    <n v="63854.68"/>
    <x v="1"/>
  </r>
  <r>
    <x v="0"/>
    <x v="4"/>
    <s v="Balón"/>
    <x v="3"/>
    <x v="0"/>
    <n v="7"/>
    <n v="305.47000000000003"/>
    <n v="2138.29"/>
    <n v="7.67"/>
    <n v="16400.68"/>
    <x v="1"/>
  </r>
  <r>
    <x v="1"/>
    <x v="2"/>
    <s v="Lámpara"/>
    <x v="2"/>
    <x v="9"/>
    <n v="5"/>
    <n v="112.87"/>
    <n v="564.35"/>
    <n v="8.27"/>
    <n v="4667.17"/>
    <x v="1"/>
  </r>
  <r>
    <x v="5"/>
    <x v="1"/>
    <s v="Azúcar"/>
    <x v="1"/>
    <x v="8"/>
    <n v="15"/>
    <n v="288.7"/>
    <n v="4330.5"/>
    <n v="8.4600000000000009"/>
    <n v="36636.03"/>
    <x v="1"/>
  </r>
  <r>
    <x v="1"/>
    <x v="3"/>
    <s v="Chaqueta"/>
    <x v="0"/>
    <x v="2"/>
    <n v="3"/>
    <n v="262.2"/>
    <n v="786.6"/>
    <n v="7.78"/>
    <n v="6119.75"/>
    <x v="1"/>
  </r>
  <r>
    <x v="0"/>
    <x v="3"/>
    <s v="Pantalón"/>
    <x v="1"/>
    <x v="8"/>
    <n v="11"/>
    <n v="247.9"/>
    <n v="2726.9"/>
    <n v="7.96"/>
    <n v="21706.12"/>
    <x v="1"/>
  </r>
  <r>
    <x v="1"/>
    <x v="1"/>
    <s v="Cereal"/>
    <x v="3"/>
    <x v="3"/>
    <n v="16"/>
    <n v="396.23"/>
    <n v="6339.68"/>
    <n v="7.64"/>
    <n v="48435.16"/>
    <x v="1"/>
  </r>
  <r>
    <x v="0"/>
    <x v="4"/>
    <s v="Balón"/>
    <x v="3"/>
    <x v="4"/>
    <n v="3"/>
    <n v="288.89"/>
    <n v="866.67"/>
    <n v="8.39"/>
    <n v="7271.36"/>
    <x v="1"/>
  </r>
  <r>
    <x v="2"/>
    <x v="0"/>
    <s v="Laptop"/>
    <x v="2"/>
    <x v="9"/>
    <n v="19"/>
    <n v="346.17"/>
    <n v="6577.23"/>
    <n v="8.26"/>
    <n v="54327.92"/>
    <x v="1"/>
  </r>
  <r>
    <x v="5"/>
    <x v="1"/>
    <s v="Aceite"/>
    <x v="1"/>
    <x v="2"/>
    <n v="11"/>
    <n v="85.32"/>
    <n v="938.52"/>
    <n v="7.98"/>
    <n v="7489.39"/>
    <x v="1"/>
  </r>
  <r>
    <x v="3"/>
    <x v="1"/>
    <s v="Cereal"/>
    <x v="3"/>
    <x v="11"/>
    <n v="11"/>
    <n v="207.37"/>
    <n v="2281.0700000000002"/>
    <n v="7.8"/>
    <n v="17792.349999999999"/>
    <x v="1"/>
  </r>
  <r>
    <x v="1"/>
    <x v="1"/>
    <s v="Aceite"/>
    <x v="1"/>
    <x v="11"/>
    <n v="20"/>
    <n v="206.93"/>
    <n v="4138.6000000000004"/>
    <n v="7.88"/>
    <n v="32612.17"/>
    <x v="1"/>
  </r>
  <r>
    <x v="2"/>
    <x v="1"/>
    <s v="Cereal"/>
    <x v="3"/>
    <x v="0"/>
    <n v="7"/>
    <n v="131.18"/>
    <n v="918.26"/>
    <n v="8.0399999999999991"/>
    <n v="7382.81"/>
    <x v="1"/>
  </r>
  <r>
    <x v="4"/>
    <x v="0"/>
    <s v="Monitor"/>
    <x v="0"/>
    <x v="0"/>
    <n v="3"/>
    <n v="276.36"/>
    <n v="829.08"/>
    <n v="8.43"/>
    <n v="6989.14"/>
    <x v="1"/>
  </r>
  <r>
    <x v="5"/>
    <x v="4"/>
    <s v="Bicicleta"/>
    <x v="0"/>
    <x v="0"/>
    <n v="2"/>
    <n v="39.049999999999997"/>
    <n v="78.099999999999994"/>
    <n v="8.34"/>
    <n v="651.35"/>
    <x v="1"/>
  </r>
  <r>
    <x v="2"/>
    <x v="2"/>
    <s v="Colchón"/>
    <x v="3"/>
    <x v="0"/>
    <n v="9"/>
    <n v="279.52"/>
    <n v="2515.6799999999998"/>
    <n v="7.77"/>
    <n v="19546.830000000002"/>
    <x v="1"/>
  </r>
  <r>
    <x v="0"/>
    <x v="4"/>
    <s v="Cuerda"/>
    <x v="0"/>
    <x v="6"/>
    <n v="14"/>
    <n v="47.5"/>
    <n v="665"/>
    <n v="7.57"/>
    <n v="5034.05"/>
    <x v="1"/>
  </r>
  <r>
    <x v="2"/>
    <x v="3"/>
    <s v="Chaqueta"/>
    <x v="0"/>
    <x v="10"/>
    <n v="12"/>
    <n v="493.46"/>
    <n v="5921.52"/>
    <n v="8.4700000000000006"/>
    <n v="50155.27"/>
    <x v="1"/>
  </r>
  <r>
    <x v="5"/>
    <x v="4"/>
    <s v="Cuerda"/>
    <x v="2"/>
    <x v="5"/>
    <n v="20"/>
    <n v="255.07"/>
    <n v="5101.3999999999996"/>
    <n v="8.25"/>
    <n v="42086.55"/>
    <x v="1"/>
  </r>
  <r>
    <x v="0"/>
    <x v="0"/>
    <s v="Smartphone"/>
    <x v="3"/>
    <x v="9"/>
    <n v="7"/>
    <n v="189.18"/>
    <n v="1324.26"/>
    <n v="7.86"/>
    <n v="10408.68"/>
    <x v="1"/>
  </r>
  <r>
    <x v="0"/>
    <x v="1"/>
    <s v="Aceite"/>
    <x v="1"/>
    <x v="2"/>
    <n v="14"/>
    <n v="300.2"/>
    <n v="4202.8"/>
    <n v="8.36"/>
    <n v="35135.410000000003"/>
    <x v="1"/>
  </r>
  <r>
    <x v="3"/>
    <x v="0"/>
    <s v="Monitor"/>
    <x v="1"/>
    <x v="2"/>
    <n v="20"/>
    <n v="131.88999999999999"/>
    <n v="2637.8"/>
    <n v="8.0299999999999994"/>
    <n v="21181.53"/>
    <x v="1"/>
  </r>
  <r>
    <x v="0"/>
    <x v="4"/>
    <s v="Guantes"/>
    <x v="2"/>
    <x v="4"/>
    <n v="10"/>
    <n v="175.39"/>
    <n v="1753.9"/>
    <n v="8.09"/>
    <n v="14189.05"/>
    <x v="1"/>
  </r>
  <r>
    <x v="0"/>
    <x v="4"/>
    <s v="Balón"/>
    <x v="2"/>
    <x v="11"/>
    <n v="4"/>
    <n v="145.57"/>
    <n v="582.28"/>
    <n v="8.09"/>
    <n v="4710.6499999999996"/>
    <x v="1"/>
  </r>
  <r>
    <x v="0"/>
    <x v="3"/>
    <s v="Zapatos"/>
    <x v="0"/>
    <x v="3"/>
    <n v="20"/>
    <n v="448.65"/>
    <n v="8973"/>
    <n v="8.02"/>
    <n v="71963.460000000006"/>
    <x v="1"/>
  </r>
  <r>
    <x v="3"/>
    <x v="1"/>
    <s v="Aceite"/>
    <x v="3"/>
    <x v="4"/>
    <n v="4"/>
    <n v="463.02"/>
    <n v="1852.08"/>
    <n v="8.08"/>
    <n v="14964.81"/>
    <x v="1"/>
  </r>
  <r>
    <x v="0"/>
    <x v="3"/>
    <s v="Camisa"/>
    <x v="2"/>
    <x v="9"/>
    <n v="8"/>
    <n v="162.03"/>
    <n v="1296.24"/>
    <n v="7.74"/>
    <n v="10032.9"/>
    <x v="1"/>
  </r>
  <r>
    <x v="3"/>
    <x v="2"/>
    <s v="Mesa"/>
    <x v="3"/>
    <x v="5"/>
    <n v="1"/>
    <n v="58.6"/>
    <n v="58.6"/>
    <n v="8.09"/>
    <n v="474.07"/>
    <x v="1"/>
  </r>
  <r>
    <x v="1"/>
    <x v="0"/>
    <s v="Smartphone"/>
    <x v="1"/>
    <x v="9"/>
    <n v="6"/>
    <n v="416.53"/>
    <n v="2499.1799999999998"/>
    <n v="8.07"/>
    <n v="20168.38"/>
    <x v="1"/>
  </r>
  <r>
    <x v="2"/>
    <x v="1"/>
    <s v="Café"/>
    <x v="1"/>
    <x v="0"/>
    <n v="12"/>
    <n v="147.69999999999999"/>
    <n v="1772.4"/>
    <n v="8.27"/>
    <n v="14657.75"/>
    <x v="1"/>
  </r>
  <r>
    <x v="3"/>
    <x v="0"/>
    <s v="Laptop"/>
    <x v="3"/>
    <x v="10"/>
    <n v="15"/>
    <n v="89.61"/>
    <n v="1344.15"/>
    <n v="7.95"/>
    <n v="10685.99"/>
    <x v="1"/>
  </r>
  <r>
    <x v="3"/>
    <x v="2"/>
    <s v="Colchón"/>
    <x v="0"/>
    <x v="10"/>
    <n v="13"/>
    <n v="399.88"/>
    <n v="5198.4399999999996"/>
    <n v="8.49"/>
    <n v="44134.76"/>
    <x v="1"/>
  </r>
  <r>
    <x v="2"/>
    <x v="4"/>
    <s v="Balón"/>
    <x v="0"/>
    <x v="11"/>
    <n v="12"/>
    <n v="96.41"/>
    <n v="1156.92"/>
    <n v="7.52"/>
    <n v="8700.0400000000009"/>
    <x v="1"/>
  </r>
  <r>
    <x v="0"/>
    <x v="3"/>
    <s v="Camisa"/>
    <x v="1"/>
    <x v="5"/>
    <n v="17"/>
    <n v="72.53"/>
    <n v="1233.01"/>
    <n v="7.53"/>
    <n v="9284.57"/>
    <x v="1"/>
  </r>
  <r>
    <x v="0"/>
    <x v="2"/>
    <s v="Colchón"/>
    <x v="1"/>
    <x v="11"/>
    <n v="13"/>
    <n v="302.14"/>
    <n v="3927.82"/>
    <n v="8.16"/>
    <n v="32051.01"/>
    <x v="1"/>
  </r>
  <r>
    <x v="1"/>
    <x v="2"/>
    <s v="Colchón"/>
    <x v="0"/>
    <x v="2"/>
    <n v="3"/>
    <n v="470.73"/>
    <n v="1412.19"/>
    <n v="8.4700000000000006"/>
    <n v="11961.25"/>
    <x v="1"/>
  </r>
  <r>
    <x v="1"/>
    <x v="0"/>
    <s v="Laptop"/>
    <x v="1"/>
    <x v="5"/>
    <n v="13"/>
    <n v="264.37"/>
    <n v="3436.81"/>
    <n v="8.1"/>
    <n v="27838.16"/>
    <x v="1"/>
  </r>
  <r>
    <x v="5"/>
    <x v="0"/>
    <s v="Auriculares"/>
    <x v="0"/>
    <x v="7"/>
    <n v="4"/>
    <n v="227.99"/>
    <n v="911.96"/>
    <n v="7.61"/>
    <n v="6940.02"/>
    <x v="1"/>
  </r>
  <r>
    <x v="0"/>
    <x v="3"/>
    <s v="Zapatos"/>
    <x v="0"/>
    <x v="11"/>
    <n v="1"/>
    <n v="290.22000000000003"/>
    <n v="290.22000000000003"/>
    <n v="7.5"/>
    <n v="2176.65"/>
    <x v="1"/>
  </r>
  <r>
    <x v="2"/>
    <x v="1"/>
    <s v="Cereal"/>
    <x v="0"/>
    <x v="7"/>
    <n v="13"/>
    <n v="284.32"/>
    <n v="3696.16"/>
    <n v="7.85"/>
    <n v="29014.86"/>
    <x v="1"/>
  </r>
  <r>
    <x v="1"/>
    <x v="0"/>
    <s v="Smartphone"/>
    <x v="0"/>
    <x v="2"/>
    <n v="14"/>
    <n v="74.45"/>
    <n v="1042.3"/>
    <n v="8.15"/>
    <n v="8494.75"/>
    <x v="1"/>
  </r>
  <r>
    <x v="0"/>
    <x v="4"/>
    <s v="Balón"/>
    <x v="1"/>
    <x v="1"/>
    <n v="16"/>
    <n v="188.26"/>
    <n v="3012.16"/>
    <n v="7.51"/>
    <n v="22621.32"/>
    <x v="1"/>
  </r>
  <r>
    <x v="0"/>
    <x v="1"/>
    <s v="Azúcar"/>
    <x v="3"/>
    <x v="6"/>
    <n v="1"/>
    <n v="257.32"/>
    <n v="257.32"/>
    <n v="8.1"/>
    <n v="2084.29"/>
    <x v="1"/>
  </r>
  <r>
    <x v="5"/>
    <x v="2"/>
    <s v="Silla"/>
    <x v="0"/>
    <x v="4"/>
    <n v="1"/>
    <n v="466.93"/>
    <n v="466.93"/>
    <n v="7.93"/>
    <n v="3702.75"/>
    <x v="1"/>
  </r>
  <r>
    <x v="4"/>
    <x v="3"/>
    <s v="Pantalón"/>
    <x v="1"/>
    <x v="4"/>
    <n v="10"/>
    <n v="419.22"/>
    <n v="4192.2"/>
    <n v="8.06"/>
    <n v="33789.129999999997"/>
    <x v="1"/>
  </r>
  <r>
    <x v="4"/>
    <x v="2"/>
    <s v="Mesa"/>
    <x v="0"/>
    <x v="0"/>
    <n v="4"/>
    <n v="236.75"/>
    <n v="947"/>
    <n v="8.31"/>
    <n v="7869.57"/>
    <x v="1"/>
  </r>
  <r>
    <x v="0"/>
    <x v="4"/>
    <s v="Cuerda"/>
    <x v="1"/>
    <x v="4"/>
    <n v="3"/>
    <n v="89.46"/>
    <n v="268.38"/>
    <n v="7.6"/>
    <n v="2039.69"/>
    <x v="1"/>
  </r>
  <r>
    <x v="5"/>
    <x v="4"/>
    <s v="Cuerda"/>
    <x v="3"/>
    <x v="6"/>
    <n v="6"/>
    <n v="132.49"/>
    <n v="794.94"/>
    <n v="8.36"/>
    <n v="6645.7"/>
    <x v="1"/>
  </r>
  <r>
    <x v="4"/>
    <x v="4"/>
    <s v="Balón"/>
    <x v="3"/>
    <x v="10"/>
    <n v="9"/>
    <n v="315.86"/>
    <n v="2842.74"/>
    <n v="8.3699999999999992"/>
    <n v="23793.73"/>
    <x v="1"/>
  </r>
  <r>
    <x v="0"/>
    <x v="3"/>
    <s v="Pantalón"/>
    <x v="0"/>
    <x v="7"/>
    <n v="8"/>
    <n v="101.98"/>
    <n v="815.84"/>
    <n v="7.92"/>
    <n v="6461.45"/>
    <x v="1"/>
  </r>
  <r>
    <x v="2"/>
    <x v="1"/>
    <s v="Café"/>
    <x v="0"/>
    <x v="10"/>
    <n v="16"/>
    <n v="232.64"/>
    <n v="3722.24"/>
    <n v="8"/>
    <n v="29777.919999999998"/>
    <x v="1"/>
  </r>
  <r>
    <x v="2"/>
    <x v="0"/>
    <s v="Auriculares"/>
    <x v="2"/>
    <x v="2"/>
    <n v="19"/>
    <n v="388.73"/>
    <n v="7385.87"/>
    <n v="7.86"/>
    <n v="58052.94"/>
    <x v="1"/>
  </r>
  <r>
    <x v="3"/>
    <x v="3"/>
    <s v="Zapatos"/>
    <x v="1"/>
    <x v="7"/>
    <n v="7"/>
    <n v="297.62"/>
    <n v="2083.34"/>
    <n v="8.33"/>
    <n v="17354.22"/>
    <x v="1"/>
  </r>
  <r>
    <x v="2"/>
    <x v="3"/>
    <s v="Camisa"/>
    <x v="0"/>
    <x v="9"/>
    <n v="2"/>
    <n v="149.63"/>
    <n v="299.26"/>
    <n v="8.36"/>
    <n v="2501.81"/>
    <x v="1"/>
  </r>
  <r>
    <x v="1"/>
    <x v="2"/>
    <s v="Lámpara"/>
    <x v="3"/>
    <x v="1"/>
    <n v="16"/>
    <n v="270.75"/>
    <n v="4332"/>
    <n v="7.57"/>
    <n v="32793.24"/>
    <x v="1"/>
  </r>
  <r>
    <x v="1"/>
    <x v="2"/>
    <s v="Mesa"/>
    <x v="3"/>
    <x v="4"/>
    <n v="9"/>
    <n v="214.68"/>
    <n v="1932.12"/>
    <n v="7.8"/>
    <n v="15070.54"/>
    <x v="1"/>
  </r>
  <r>
    <x v="2"/>
    <x v="3"/>
    <s v="Chaqueta"/>
    <x v="0"/>
    <x v="5"/>
    <n v="18"/>
    <n v="252.87"/>
    <n v="4551.66"/>
    <n v="7.72"/>
    <n v="35138.82"/>
    <x v="1"/>
  </r>
  <r>
    <x v="5"/>
    <x v="3"/>
    <s v="Zapatos"/>
    <x v="0"/>
    <x v="1"/>
    <n v="19"/>
    <n v="447.78"/>
    <n v="8507.82"/>
    <n v="8.26"/>
    <n v="70274.59"/>
    <x v="1"/>
  </r>
  <r>
    <x v="0"/>
    <x v="0"/>
    <s v="Auriculares"/>
    <x v="1"/>
    <x v="6"/>
    <n v="3"/>
    <n v="52.48"/>
    <n v="157.44"/>
    <n v="8.33"/>
    <n v="1311.48"/>
    <x v="1"/>
  </r>
  <r>
    <x v="2"/>
    <x v="3"/>
    <s v="Chaqueta"/>
    <x v="3"/>
    <x v="3"/>
    <n v="5"/>
    <n v="337.14"/>
    <n v="1685.7"/>
    <n v="7.72"/>
    <n v="13013.6"/>
    <x v="1"/>
  </r>
  <r>
    <x v="3"/>
    <x v="4"/>
    <s v="Guantes"/>
    <x v="3"/>
    <x v="9"/>
    <n v="10"/>
    <n v="446.99"/>
    <n v="4469.8999999999996"/>
    <n v="8.15"/>
    <n v="36429.68"/>
    <x v="1"/>
  </r>
  <r>
    <x v="3"/>
    <x v="4"/>
    <s v="Cuerda"/>
    <x v="2"/>
    <x v="11"/>
    <n v="15"/>
    <n v="422.41"/>
    <n v="6336.15"/>
    <n v="7.56"/>
    <n v="47901.29"/>
    <x v="1"/>
  </r>
  <r>
    <x v="3"/>
    <x v="4"/>
    <s v="Balón"/>
    <x v="3"/>
    <x v="7"/>
    <n v="15"/>
    <n v="255.14"/>
    <n v="3827.1"/>
    <n v="7.76"/>
    <n v="29698.3"/>
    <x v="1"/>
  </r>
  <r>
    <x v="1"/>
    <x v="1"/>
    <s v="Café"/>
    <x v="1"/>
    <x v="9"/>
    <n v="7"/>
    <n v="124.97"/>
    <n v="874.79"/>
    <n v="7.85"/>
    <n v="6867.1"/>
    <x v="1"/>
  </r>
  <r>
    <x v="1"/>
    <x v="4"/>
    <s v="Cuerda"/>
    <x v="2"/>
    <x v="5"/>
    <n v="15"/>
    <n v="491.05"/>
    <n v="7365.75"/>
    <n v="8.43"/>
    <n v="62093.27"/>
    <x v="1"/>
  </r>
  <r>
    <x v="3"/>
    <x v="0"/>
    <s v="Smartphone"/>
    <x v="1"/>
    <x v="4"/>
    <n v="10"/>
    <n v="96.26"/>
    <n v="962.6"/>
    <n v="7.85"/>
    <n v="7556.41"/>
    <x v="1"/>
  </r>
  <r>
    <x v="3"/>
    <x v="3"/>
    <s v="Pantalón"/>
    <x v="3"/>
    <x v="1"/>
    <n v="8"/>
    <n v="389.83"/>
    <n v="3118.64"/>
    <n v="7.99"/>
    <n v="24917.93"/>
    <x v="1"/>
  </r>
  <r>
    <x v="0"/>
    <x v="4"/>
    <s v="Cuerda"/>
    <x v="0"/>
    <x v="4"/>
    <n v="11"/>
    <n v="179.51"/>
    <n v="1974.61"/>
    <n v="7.78"/>
    <n v="15362.47"/>
    <x v="1"/>
  </r>
  <r>
    <x v="4"/>
    <x v="3"/>
    <s v="Zapatos"/>
    <x v="1"/>
    <x v="9"/>
    <n v="9"/>
    <n v="304.82"/>
    <n v="2743.38"/>
    <n v="7.6"/>
    <n v="20849.689999999999"/>
    <x v="1"/>
  </r>
  <r>
    <x v="5"/>
    <x v="0"/>
    <s v="Auriculares"/>
    <x v="3"/>
    <x v="7"/>
    <n v="17"/>
    <n v="192.36"/>
    <n v="3270.12"/>
    <n v="7.58"/>
    <n v="24787.51"/>
    <x v="1"/>
  </r>
  <r>
    <x v="4"/>
    <x v="2"/>
    <s v="Lámpara"/>
    <x v="0"/>
    <x v="4"/>
    <n v="6"/>
    <n v="445.12"/>
    <n v="2670.72"/>
    <n v="7.64"/>
    <n v="20404.3"/>
    <x v="1"/>
  </r>
  <r>
    <x v="1"/>
    <x v="0"/>
    <s v="Monitor"/>
    <x v="1"/>
    <x v="7"/>
    <n v="19"/>
    <n v="216.18"/>
    <n v="4107.42"/>
    <n v="8.02"/>
    <n v="32941.51"/>
    <x v="1"/>
  </r>
  <r>
    <x v="5"/>
    <x v="3"/>
    <s v="Zapatos"/>
    <x v="2"/>
    <x v="5"/>
    <n v="3"/>
    <n v="187.64"/>
    <n v="562.91999999999996"/>
    <n v="7.5"/>
    <n v="4221.8999999999996"/>
    <x v="1"/>
  </r>
  <r>
    <x v="5"/>
    <x v="0"/>
    <s v="Monitor"/>
    <x v="2"/>
    <x v="4"/>
    <n v="16"/>
    <n v="270.16000000000003"/>
    <n v="4322.5600000000004"/>
    <n v="7.53"/>
    <n v="32548.880000000001"/>
    <x v="1"/>
  </r>
  <r>
    <x v="4"/>
    <x v="3"/>
    <s v="Camisa"/>
    <x v="1"/>
    <x v="11"/>
    <n v="12"/>
    <n v="85.13"/>
    <n v="1021.56"/>
    <n v="7.85"/>
    <n v="8019.25"/>
    <x v="1"/>
  </r>
  <r>
    <x v="2"/>
    <x v="1"/>
    <s v="Café"/>
    <x v="3"/>
    <x v="0"/>
    <n v="11"/>
    <n v="465.38"/>
    <n v="5119.18"/>
    <n v="7.91"/>
    <n v="40492.71"/>
    <x v="1"/>
  </r>
  <r>
    <x v="3"/>
    <x v="3"/>
    <s v="Chaqueta"/>
    <x v="3"/>
    <x v="9"/>
    <n v="16"/>
    <n v="170.96"/>
    <n v="2735.36"/>
    <n v="8.1999999999999993"/>
    <n v="22429.95"/>
    <x v="1"/>
  </r>
  <r>
    <x v="5"/>
    <x v="1"/>
    <s v="Café"/>
    <x v="3"/>
    <x v="10"/>
    <n v="19"/>
    <n v="265.72000000000003"/>
    <n v="5048.68"/>
    <n v="8.01"/>
    <n v="40439.93"/>
    <x v="1"/>
  </r>
  <r>
    <x v="0"/>
    <x v="1"/>
    <s v="Cereal"/>
    <x v="0"/>
    <x v="0"/>
    <n v="13"/>
    <n v="498.01"/>
    <n v="6474.13"/>
    <n v="7.63"/>
    <n v="49397.61"/>
    <x v="1"/>
  </r>
  <r>
    <x v="2"/>
    <x v="0"/>
    <s v="Monitor"/>
    <x v="3"/>
    <x v="0"/>
    <n v="13"/>
    <n v="68.89"/>
    <n v="895.57"/>
    <n v="7.93"/>
    <n v="7101.87"/>
    <x v="1"/>
  </r>
  <r>
    <x v="3"/>
    <x v="3"/>
    <s v="Zapatos"/>
    <x v="3"/>
    <x v="3"/>
    <n v="6"/>
    <n v="18.73"/>
    <n v="112.38"/>
    <n v="7.73"/>
    <n v="868.7"/>
    <x v="1"/>
  </r>
  <r>
    <x v="2"/>
    <x v="4"/>
    <s v="Cuerda"/>
    <x v="2"/>
    <x v="8"/>
    <n v="17"/>
    <n v="33.299999999999997"/>
    <n v="566.1"/>
    <n v="8.0399999999999991"/>
    <n v="4551.4399999999996"/>
    <x v="1"/>
  </r>
  <r>
    <x v="3"/>
    <x v="4"/>
    <s v="Balón"/>
    <x v="1"/>
    <x v="0"/>
    <n v="5"/>
    <n v="266.23"/>
    <n v="1331.15"/>
    <n v="8.2899999999999991"/>
    <n v="11035.23"/>
    <x v="1"/>
  </r>
  <r>
    <x v="3"/>
    <x v="4"/>
    <s v="Cuerda"/>
    <x v="2"/>
    <x v="4"/>
    <n v="18"/>
    <n v="347"/>
    <n v="6246"/>
    <n v="7.7"/>
    <n v="48094.2"/>
    <x v="1"/>
  </r>
  <r>
    <x v="4"/>
    <x v="1"/>
    <s v="Cereal"/>
    <x v="3"/>
    <x v="1"/>
    <n v="11"/>
    <n v="51.91"/>
    <n v="571.01"/>
    <n v="7.6"/>
    <n v="4339.68"/>
    <x v="1"/>
  </r>
  <r>
    <x v="2"/>
    <x v="3"/>
    <s v="Chaqueta"/>
    <x v="2"/>
    <x v="6"/>
    <n v="13"/>
    <n v="326.25"/>
    <n v="4241.25"/>
    <n v="7.81"/>
    <n v="33124.160000000003"/>
    <x v="1"/>
  </r>
  <r>
    <x v="2"/>
    <x v="4"/>
    <s v="Balón"/>
    <x v="0"/>
    <x v="2"/>
    <n v="1"/>
    <n v="13.29"/>
    <n v="13.29"/>
    <n v="8.09"/>
    <n v="107.52"/>
    <x v="1"/>
  </r>
  <r>
    <x v="5"/>
    <x v="1"/>
    <s v="Azúcar"/>
    <x v="3"/>
    <x v="0"/>
    <n v="4"/>
    <n v="210.85"/>
    <n v="843.4"/>
    <n v="7.73"/>
    <n v="6519.48"/>
    <x v="1"/>
  </r>
  <r>
    <x v="3"/>
    <x v="0"/>
    <s v="Laptop"/>
    <x v="2"/>
    <x v="10"/>
    <n v="18"/>
    <n v="432.6"/>
    <n v="7786.8"/>
    <n v="7.51"/>
    <n v="58478.87"/>
    <x v="1"/>
  </r>
  <r>
    <x v="1"/>
    <x v="2"/>
    <s v="Silla"/>
    <x v="1"/>
    <x v="6"/>
    <n v="14"/>
    <n v="353.55"/>
    <n v="4949.7"/>
    <n v="7.61"/>
    <n v="37667.22"/>
    <x v="1"/>
  </r>
  <r>
    <x v="5"/>
    <x v="0"/>
    <s v="Laptop"/>
    <x v="1"/>
    <x v="7"/>
    <n v="15"/>
    <n v="206.07"/>
    <n v="3091.05"/>
    <n v="8.35"/>
    <n v="25810.27"/>
    <x v="1"/>
  </r>
  <r>
    <x v="2"/>
    <x v="0"/>
    <s v="Auriculares"/>
    <x v="2"/>
    <x v="5"/>
    <n v="8"/>
    <n v="365.7"/>
    <n v="2925.6"/>
    <n v="8.0500000000000007"/>
    <n v="23551.08"/>
    <x v="1"/>
  </r>
  <r>
    <x v="0"/>
    <x v="2"/>
    <s v="Lámpara"/>
    <x v="2"/>
    <x v="7"/>
    <n v="12"/>
    <n v="469.14"/>
    <n v="5629.68"/>
    <n v="8.4600000000000009"/>
    <n v="47627.09"/>
    <x v="1"/>
  </r>
  <r>
    <x v="0"/>
    <x v="2"/>
    <s v="Lámpara"/>
    <x v="2"/>
    <x v="11"/>
    <n v="6"/>
    <n v="22.92"/>
    <n v="137.52000000000001"/>
    <n v="8.06"/>
    <n v="1108.4100000000001"/>
    <x v="1"/>
  </r>
  <r>
    <x v="5"/>
    <x v="2"/>
    <s v="Colchón"/>
    <x v="2"/>
    <x v="7"/>
    <n v="18"/>
    <n v="488.06"/>
    <n v="8785.08"/>
    <n v="8.41"/>
    <n v="73882.52"/>
    <x v="1"/>
  </r>
  <r>
    <x v="1"/>
    <x v="4"/>
    <s v="Guantes"/>
    <x v="1"/>
    <x v="2"/>
    <n v="5"/>
    <n v="258.66000000000003"/>
    <n v="1293.3"/>
    <n v="7.91"/>
    <n v="10230"/>
    <x v="1"/>
  </r>
  <r>
    <x v="4"/>
    <x v="3"/>
    <s v="Camisa"/>
    <x v="3"/>
    <x v="0"/>
    <n v="11"/>
    <n v="273.88"/>
    <n v="3012.68"/>
    <n v="8.16"/>
    <n v="24583.47"/>
    <x v="1"/>
  </r>
  <r>
    <x v="4"/>
    <x v="2"/>
    <s v="Lámpara"/>
    <x v="2"/>
    <x v="10"/>
    <n v="6"/>
    <n v="84.96"/>
    <n v="509.76"/>
    <n v="7.73"/>
    <n v="3940.44"/>
    <x v="1"/>
  </r>
  <r>
    <x v="5"/>
    <x v="3"/>
    <s v="Camisa"/>
    <x v="0"/>
    <x v="10"/>
    <n v="8"/>
    <n v="46.46"/>
    <n v="371.68"/>
    <n v="7.87"/>
    <n v="2925.1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s v="Electrónica"/>
    <s v="Laptop"/>
    <x v="0"/>
    <x v="0"/>
    <n v="0"/>
    <n v="36.92"/>
    <n v="0"/>
    <n v="8.3000000000000007"/>
    <n v="0"/>
    <s v="Sin ventas"/>
  </r>
  <r>
    <x v="0"/>
    <s v="Alimentos"/>
    <s v="Azúcar"/>
    <x v="1"/>
    <x v="1"/>
    <n v="15"/>
    <n v="357.02"/>
    <n v="5355.3"/>
    <n v="7.78"/>
    <n v="41664.230000000003"/>
    <s v="Con ventas"/>
  </r>
  <r>
    <x v="1"/>
    <s v="Alimentos"/>
    <s v="Azúcar"/>
    <x v="0"/>
    <x v="1"/>
    <n v="11"/>
    <n v="119.46"/>
    <n v="1314.06"/>
    <n v="8.42"/>
    <n v="11064.39"/>
    <s v="Con ventas"/>
  </r>
  <r>
    <x v="2"/>
    <s v="Hogar"/>
    <s v="Mesa"/>
    <x v="2"/>
    <x v="2"/>
    <n v="16"/>
    <n v="48.69"/>
    <n v="779.04"/>
    <n v="8.06"/>
    <n v="6279.06"/>
    <s v="Con ventas"/>
  </r>
  <r>
    <x v="1"/>
    <s v="Hogar"/>
    <s v="Colchón"/>
    <x v="2"/>
    <x v="2"/>
    <n v="3"/>
    <n v="250.23"/>
    <n v="750.69"/>
    <n v="8.4499999999999993"/>
    <n v="6343.33"/>
    <s v="Con ventas"/>
  </r>
  <r>
    <x v="3"/>
    <s v="Ropa"/>
    <s v="Pantalón"/>
    <x v="0"/>
    <x v="3"/>
    <n v="1"/>
    <n v="150.44"/>
    <n v="150.44"/>
    <n v="7.99"/>
    <n v="1202.02"/>
    <s v="Con ventas"/>
  </r>
  <r>
    <x v="3"/>
    <s v="Electrónica"/>
    <s v="Monitor"/>
    <x v="1"/>
    <x v="4"/>
    <n v="15"/>
    <n v="365.52"/>
    <n v="5482.8"/>
    <n v="8.42"/>
    <n v="46165.18"/>
    <s v="Con ventas"/>
  </r>
  <r>
    <x v="1"/>
    <s v="Hogar"/>
    <s v="Mesa"/>
    <x v="0"/>
    <x v="5"/>
    <n v="17"/>
    <n v="183.36"/>
    <n v="3117.12"/>
    <n v="7.74"/>
    <n v="24126.51"/>
    <s v="Con ventas"/>
  </r>
  <r>
    <x v="1"/>
    <s v="Ropa"/>
    <s v="Zapatos"/>
    <x v="2"/>
    <x v="6"/>
    <n v="11"/>
    <n v="436.39"/>
    <n v="4800.29"/>
    <n v="8.2799999999999994"/>
    <n v="39746.400000000001"/>
    <s v="Con ventas"/>
  </r>
  <r>
    <x v="1"/>
    <s v="Hogar"/>
    <s v="Mesa"/>
    <x v="1"/>
    <x v="7"/>
    <n v="16"/>
    <n v="201"/>
    <n v="3216"/>
    <n v="7.52"/>
    <n v="24184.32"/>
    <s v="Con ventas"/>
  </r>
  <r>
    <x v="1"/>
    <s v="Electrónica"/>
    <s v="Auriculares"/>
    <x v="1"/>
    <x v="8"/>
    <n v="15"/>
    <n v="448.03"/>
    <n v="6720.45"/>
    <n v="8.44"/>
    <n v="56720.6"/>
    <s v="Con ventas"/>
  </r>
  <r>
    <x v="0"/>
    <s v="Hogar"/>
    <s v="Lámpara"/>
    <x v="2"/>
    <x v="8"/>
    <n v="17"/>
    <n v="40.24"/>
    <n v="684.08"/>
    <n v="8.34"/>
    <n v="5705.23"/>
    <s v="Con ventas"/>
  </r>
  <r>
    <x v="2"/>
    <s v="Hogar"/>
    <s v="Mesa"/>
    <x v="2"/>
    <x v="9"/>
    <n v="9"/>
    <n v="342.35"/>
    <n v="3081.15"/>
    <n v="8.11"/>
    <n v="24988.13"/>
    <s v="Con ventas"/>
  </r>
  <r>
    <x v="3"/>
    <s v="Alimentos"/>
    <s v="Cereal"/>
    <x v="2"/>
    <x v="1"/>
    <n v="2"/>
    <n v="313.08999999999997"/>
    <n v="626.17999999999995"/>
    <n v="8.2100000000000009"/>
    <n v="5140.9399999999996"/>
    <s v="Con ventas"/>
  </r>
  <r>
    <x v="2"/>
    <s v="Hogar"/>
    <s v="Colchón"/>
    <x v="1"/>
    <x v="2"/>
    <n v="13"/>
    <n v="17.37"/>
    <n v="225.81"/>
    <n v="8.17"/>
    <n v="1844.87"/>
    <s v="Con ventas"/>
  </r>
  <r>
    <x v="1"/>
    <s v="Deportes"/>
    <s v="Cuerda"/>
    <x v="1"/>
    <x v="10"/>
    <n v="9"/>
    <n v="132.22"/>
    <n v="1189.98"/>
    <n v="8.49"/>
    <n v="10102.93"/>
    <s v="Con ventas"/>
  </r>
  <r>
    <x v="1"/>
    <s v="Alimentos"/>
    <s v="Azúcar"/>
    <x v="3"/>
    <x v="6"/>
    <n v="11"/>
    <n v="11.25"/>
    <n v="123.75"/>
    <n v="7.86"/>
    <n v="972.68"/>
    <s v="Con ventas"/>
  </r>
  <r>
    <x v="0"/>
    <s v="Alimentos"/>
    <s v="Café"/>
    <x v="0"/>
    <x v="7"/>
    <n v="17"/>
    <n v="367.14"/>
    <n v="6241.38"/>
    <n v="7.61"/>
    <n v="47496.9"/>
    <s v="Con ventas"/>
  </r>
  <r>
    <x v="4"/>
    <s v="Deportes"/>
    <s v="Cuerda"/>
    <x v="3"/>
    <x v="10"/>
    <n v="11"/>
    <n v="58.12"/>
    <n v="639.32000000000005"/>
    <n v="7.84"/>
    <n v="5012.2700000000004"/>
    <s v="Con ventas"/>
  </r>
  <r>
    <x v="4"/>
    <s v="Deportes"/>
    <s v="Cuerda"/>
    <x v="1"/>
    <x v="2"/>
    <n v="19"/>
    <n v="12.24"/>
    <n v="232.56"/>
    <n v="8.2799999999999994"/>
    <n v="1925.6"/>
    <s v="Con ventas"/>
  </r>
  <r>
    <x v="0"/>
    <s v="Hogar"/>
    <s v="Mesa"/>
    <x v="0"/>
    <x v="3"/>
    <n v="18"/>
    <n v="279.51"/>
    <n v="5031.18"/>
    <n v="8.25"/>
    <n v="41507.24"/>
    <s v="Con ventas"/>
  </r>
  <r>
    <x v="1"/>
    <s v="Hogar"/>
    <s v="Mesa"/>
    <x v="1"/>
    <x v="5"/>
    <n v="15"/>
    <n v="297.70999999999998"/>
    <n v="4465.6499999999996"/>
    <n v="8.33"/>
    <n v="37198.86"/>
    <s v="Con ventas"/>
  </r>
  <r>
    <x v="4"/>
    <s v="Alimentos"/>
    <s v="Cereal"/>
    <x v="2"/>
    <x v="8"/>
    <n v="9"/>
    <n v="175.15"/>
    <n v="1576.35"/>
    <n v="8.26"/>
    <n v="13020.65"/>
    <s v="Con ventas"/>
  </r>
  <r>
    <x v="1"/>
    <s v="Ropa"/>
    <s v="Camisa"/>
    <x v="2"/>
    <x v="9"/>
    <n v="19"/>
    <n v="394.11"/>
    <n v="7488.09"/>
    <n v="7.6"/>
    <n v="56909.48"/>
    <s v="Con ventas"/>
  </r>
  <r>
    <x v="4"/>
    <s v="Alimentos"/>
    <s v="Azúcar"/>
    <x v="1"/>
    <x v="9"/>
    <n v="15"/>
    <n v="272.3"/>
    <n v="4084.5"/>
    <n v="8.3800000000000008"/>
    <n v="34228.11"/>
    <s v="Con ventas"/>
  </r>
  <r>
    <x v="0"/>
    <s v="Alimentos"/>
    <s v="Azúcar"/>
    <x v="1"/>
    <x v="1"/>
    <n v="14"/>
    <n v="120.77"/>
    <n v="1690.78"/>
    <n v="8.24"/>
    <n v="13932.03"/>
    <s v="Con ventas"/>
  </r>
  <r>
    <x v="0"/>
    <s v="Alimentos"/>
    <s v="Azúcar"/>
    <x v="0"/>
    <x v="6"/>
    <n v="16"/>
    <n v="460.57"/>
    <n v="7369.12"/>
    <n v="7.97"/>
    <n v="58731.89"/>
    <s v="Con ventas"/>
  </r>
  <r>
    <x v="0"/>
    <s v="Hogar"/>
    <s v="Silla"/>
    <x v="2"/>
    <x v="11"/>
    <n v="15"/>
    <n v="488.45"/>
    <n v="7326.75"/>
    <n v="7.75"/>
    <n v="56782.31"/>
    <s v="Con ventas"/>
  </r>
  <r>
    <x v="3"/>
    <s v="Hogar"/>
    <s v="Colchón"/>
    <x v="2"/>
    <x v="7"/>
    <n v="6"/>
    <n v="26.7"/>
    <n v="160.19999999999999"/>
    <n v="8.08"/>
    <n v="1294.42"/>
    <s v="Con ventas"/>
  </r>
  <r>
    <x v="3"/>
    <s v="Deportes"/>
    <s v="Cuerda"/>
    <x v="2"/>
    <x v="8"/>
    <n v="11"/>
    <n v="231.01"/>
    <n v="2541.11"/>
    <n v="7.96"/>
    <n v="20227.240000000002"/>
    <s v="Con ventas"/>
  </r>
  <r>
    <x v="1"/>
    <s v="Hogar"/>
    <s v="Lámpara"/>
    <x v="2"/>
    <x v="2"/>
    <n v="17"/>
    <n v="381.79"/>
    <n v="6490.43"/>
    <n v="7.67"/>
    <n v="49781.599999999999"/>
    <s v="Con ventas"/>
  </r>
  <r>
    <x v="1"/>
    <s v="Hogar"/>
    <s v="Lámpara"/>
    <x v="3"/>
    <x v="9"/>
    <n v="19"/>
    <n v="239.54"/>
    <n v="4551.26"/>
    <n v="7.58"/>
    <n v="34498.550000000003"/>
    <s v="Con ventas"/>
  </r>
  <r>
    <x v="0"/>
    <s v="Ropa"/>
    <s v="Chaqueta"/>
    <x v="1"/>
    <x v="9"/>
    <n v="13"/>
    <n v="344.35"/>
    <n v="4476.55"/>
    <n v="7.82"/>
    <n v="35006.620000000003"/>
    <s v="Con ventas"/>
  </r>
  <r>
    <x v="5"/>
    <s v="Alimentos"/>
    <s v="Azúcar"/>
    <x v="3"/>
    <x v="2"/>
    <n v="4"/>
    <n v="158.94999999999999"/>
    <n v="635.79999999999995"/>
    <n v="8.19"/>
    <n v="5207.2"/>
    <s v="Con ventas"/>
  </r>
  <r>
    <x v="0"/>
    <s v="Alimentos"/>
    <s v="Azúcar"/>
    <x v="3"/>
    <x v="11"/>
    <n v="5"/>
    <n v="230.11"/>
    <n v="1150.55"/>
    <n v="8.01"/>
    <n v="9215.91"/>
    <s v="Con ventas"/>
  </r>
  <r>
    <x v="0"/>
    <s v="Hogar"/>
    <s v="Silla"/>
    <x v="0"/>
    <x v="0"/>
    <n v="13"/>
    <n v="490.36"/>
    <n v="6374.68"/>
    <n v="7.72"/>
    <n v="49212.53"/>
    <s v="Con ventas"/>
  </r>
  <r>
    <x v="1"/>
    <s v="Hogar"/>
    <s v="Lámpara"/>
    <x v="2"/>
    <x v="9"/>
    <n v="16"/>
    <n v="389.11"/>
    <n v="6225.76"/>
    <n v="7.82"/>
    <n v="48685.440000000002"/>
    <s v="Con ventas"/>
  </r>
  <r>
    <x v="5"/>
    <s v="Alimentos"/>
    <s v="Aceite"/>
    <x v="2"/>
    <x v="1"/>
    <n v="11"/>
    <n v="57.26"/>
    <n v="629.86"/>
    <n v="7.63"/>
    <n v="4805.83"/>
    <s v="Con ventas"/>
  </r>
  <r>
    <x v="0"/>
    <s v="Ropa"/>
    <s v="Camisa"/>
    <x v="0"/>
    <x v="9"/>
    <n v="17"/>
    <n v="354.03"/>
    <n v="6018.51"/>
    <n v="7.76"/>
    <n v="46703.64"/>
    <s v="Con ventas"/>
  </r>
  <r>
    <x v="0"/>
    <s v="Hogar"/>
    <s v="Colchón"/>
    <x v="2"/>
    <x v="10"/>
    <n v="8"/>
    <n v="422.47"/>
    <n v="3379.76"/>
    <n v="7.99"/>
    <n v="27004.28"/>
    <s v="Con ventas"/>
  </r>
  <r>
    <x v="1"/>
    <s v="Ropa"/>
    <s v="Pantalón"/>
    <x v="3"/>
    <x v="3"/>
    <n v="4"/>
    <n v="407.54"/>
    <n v="1630.16"/>
    <n v="7.54"/>
    <n v="12291.41"/>
    <s v="Con ventas"/>
  </r>
  <r>
    <x v="3"/>
    <s v="Ropa"/>
    <s v="Camisa"/>
    <x v="3"/>
    <x v="2"/>
    <n v="11"/>
    <n v="264.77"/>
    <n v="2912.47"/>
    <n v="8.09"/>
    <n v="23561.88"/>
    <s v="Con ventas"/>
  </r>
  <r>
    <x v="2"/>
    <s v="Alimentos"/>
    <s v="Aceite"/>
    <x v="3"/>
    <x v="2"/>
    <n v="18"/>
    <n v="466.34"/>
    <n v="8394.1200000000008"/>
    <n v="7.88"/>
    <n v="66145.67"/>
    <s v="Con ventas"/>
  </r>
  <r>
    <x v="3"/>
    <s v="Hogar"/>
    <s v="Mesa"/>
    <x v="2"/>
    <x v="9"/>
    <n v="3"/>
    <n v="339.14"/>
    <n v="1017.42"/>
    <n v="7.67"/>
    <n v="7803.61"/>
    <s v="Con ventas"/>
  </r>
  <r>
    <x v="0"/>
    <s v="Electrónica"/>
    <s v="Laptop"/>
    <x v="1"/>
    <x v="8"/>
    <n v="13"/>
    <n v="375.32"/>
    <n v="4879.16"/>
    <n v="8.0399999999999991"/>
    <n v="39228.449999999997"/>
    <s v="Con ventas"/>
  </r>
  <r>
    <x v="5"/>
    <s v="Alimentos"/>
    <s v="Azúcar"/>
    <x v="0"/>
    <x v="5"/>
    <n v="12"/>
    <n v="454.24"/>
    <n v="5450.88"/>
    <n v="8.5"/>
    <n v="46332.480000000003"/>
    <s v="Con ventas"/>
  </r>
  <r>
    <x v="0"/>
    <s v="Electrónica"/>
    <s v="Auriculares"/>
    <x v="3"/>
    <x v="5"/>
    <n v="17"/>
    <n v="33.630000000000003"/>
    <n v="571.71"/>
    <n v="8"/>
    <n v="4573.68"/>
    <s v="Con ventas"/>
  </r>
  <r>
    <x v="0"/>
    <s v="Electrónica"/>
    <s v="Monitor"/>
    <x v="2"/>
    <x v="0"/>
    <n v="5"/>
    <n v="343.79"/>
    <n v="1718.95"/>
    <n v="8.01"/>
    <n v="13768.79"/>
    <s v="Con ventas"/>
  </r>
  <r>
    <x v="5"/>
    <s v="Ropa"/>
    <s v="Pantalón"/>
    <x v="2"/>
    <x v="1"/>
    <n v="16"/>
    <n v="33.42"/>
    <n v="534.72"/>
    <n v="8.27"/>
    <n v="4422.13"/>
    <s v="Con ventas"/>
  </r>
  <r>
    <x v="2"/>
    <s v="Ropa"/>
    <s v="Chaqueta"/>
    <x v="3"/>
    <x v="1"/>
    <n v="4"/>
    <n v="439.79"/>
    <n v="1759.16"/>
    <n v="8.4700000000000006"/>
    <n v="14900.09"/>
    <s v="Con ventas"/>
  </r>
  <r>
    <x v="2"/>
    <s v="Electrónica"/>
    <s v="Smartphone"/>
    <x v="3"/>
    <x v="6"/>
    <n v="5"/>
    <n v="378.6"/>
    <n v="1893"/>
    <n v="7.9"/>
    <n v="14954.7"/>
    <s v="Con ventas"/>
  </r>
  <r>
    <x v="4"/>
    <s v="Electrónica"/>
    <s v="Monitor"/>
    <x v="0"/>
    <x v="7"/>
    <n v="2"/>
    <n v="368.47"/>
    <n v="736.94"/>
    <n v="8.1199999999999992"/>
    <n v="5983.95"/>
    <s v="Con ventas"/>
  </r>
  <r>
    <x v="0"/>
    <s v="Ropa"/>
    <s v="Pantalón"/>
    <x v="1"/>
    <x v="4"/>
    <n v="10"/>
    <n v="190.26"/>
    <n v="1902.6"/>
    <n v="7.69"/>
    <n v="14630.99"/>
    <s v="Con ventas"/>
  </r>
  <r>
    <x v="0"/>
    <s v="Deportes"/>
    <s v="Guantes"/>
    <x v="2"/>
    <x v="10"/>
    <n v="19"/>
    <n v="246.12"/>
    <n v="4676.28"/>
    <n v="8.1999999999999993"/>
    <n v="38345.5"/>
    <s v="Con ventas"/>
  </r>
  <r>
    <x v="0"/>
    <s v="Deportes"/>
    <s v="Balón"/>
    <x v="3"/>
    <x v="2"/>
    <n v="3"/>
    <n v="245.81"/>
    <n v="737.43"/>
    <n v="8.11"/>
    <n v="5980.56"/>
    <s v="Con ventas"/>
  </r>
  <r>
    <x v="4"/>
    <s v="Alimentos"/>
    <s v="Café"/>
    <x v="2"/>
    <x v="8"/>
    <n v="16"/>
    <n v="332.91"/>
    <n v="5326.56"/>
    <n v="8.1"/>
    <n v="43145.14"/>
    <s v="Con ventas"/>
  </r>
  <r>
    <x v="0"/>
    <s v="Ropa"/>
    <s v="Chaqueta"/>
    <x v="3"/>
    <x v="6"/>
    <n v="19"/>
    <n v="491.97"/>
    <n v="9347.43"/>
    <n v="7.9"/>
    <n v="73844.7"/>
    <s v="Con ventas"/>
  </r>
  <r>
    <x v="1"/>
    <s v="Hogar"/>
    <s v="Silla"/>
    <x v="0"/>
    <x v="11"/>
    <n v="20"/>
    <n v="127.63"/>
    <n v="2552.6"/>
    <n v="7.62"/>
    <n v="19450.810000000001"/>
    <s v="Con ventas"/>
  </r>
  <r>
    <x v="3"/>
    <s v="Ropa"/>
    <s v="Chaqueta"/>
    <x v="0"/>
    <x v="1"/>
    <n v="3"/>
    <n v="222.01"/>
    <n v="666.03"/>
    <n v="7.72"/>
    <n v="5141.75"/>
    <s v="Con ventas"/>
  </r>
  <r>
    <x v="4"/>
    <s v="Hogar"/>
    <s v="Mesa"/>
    <x v="2"/>
    <x v="5"/>
    <n v="14"/>
    <n v="18.8"/>
    <n v="263.2"/>
    <n v="8.3000000000000007"/>
    <n v="2184.56"/>
    <s v="Con ventas"/>
  </r>
  <r>
    <x v="4"/>
    <s v="Electrónica"/>
    <s v="Laptop"/>
    <x v="0"/>
    <x v="4"/>
    <n v="4"/>
    <n v="492.97"/>
    <n v="1971.88"/>
    <n v="7.98"/>
    <n v="15735.6"/>
    <s v="Con ventas"/>
  </r>
  <r>
    <x v="1"/>
    <s v="Ropa"/>
    <s v="Chaqueta"/>
    <x v="2"/>
    <x v="9"/>
    <n v="18"/>
    <n v="32.51"/>
    <n v="585.17999999999995"/>
    <n v="7.62"/>
    <n v="4459.07"/>
    <s v="Con ventas"/>
  </r>
  <r>
    <x v="3"/>
    <s v="Hogar"/>
    <s v="Mesa"/>
    <x v="1"/>
    <x v="10"/>
    <n v="16"/>
    <n v="149.29"/>
    <n v="2388.64"/>
    <n v="8.0500000000000007"/>
    <n v="19228.55"/>
    <s v="Con ventas"/>
  </r>
  <r>
    <x v="1"/>
    <s v="Alimentos"/>
    <s v="Cereal"/>
    <x v="0"/>
    <x v="4"/>
    <n v="5"/>
    <n v="162.16999999999999"/>
    <n v="810.85"/>
    <n v="7.83"/>
    <n v="6348.96"/>
    <s v="Con ventas"/>
  </r>
  <r>
    <x v="5"/>
    <s v="Hogar"/>
    <s v="Colchón"/>
    <x v="0"/>
    <x v="11"/>
    <n v="15"/>
    <n v="476.31"/>
    <n v="7144.65"/>
    <n v="7.72"/>
    <n v="55156.7"/>
    <s v="Con ventas"/>
  </r>
  <r>
    <x v="1"/>
    <s v="Hogar"/>
    <s v="Mesa"/>
    <x v="2"/>
    <x v="1"/>
    <n v="9"/>
    <n v="47.77"/>
    <n v="429.93"/>
    <n v="7.7"/>
    <n v="3310.46"/>
    <s v="Con ventas"/>
  </r>
  <r>
    <x v="3"/>
    <s v="Alimentos"/>
    <s v="Café"/>
    <x v="3"/>
    <x v="5"/>
    <n v="8"/>
    <n v="450.64"/>
    <n v="3605.12"/>
    <n v="8.3000000000000007"/>
    <n v="29922.5"/>
    <s v="Con ventas"/>
  </r>
  <r>
    <x v="1"/>
    <s v="Electrónica"/>
    <s v="Laptop"/>
    <x v="0"/>
    <x v="10"/>
    <n v="5"/>
    <n v="39.67"/>
    <n v="198.35"/>
    <n v="8.11"/>
    <n v="1608.62"/>
    <s v="Con ventas"/>
  </r>
  <r>
    <x v="1"/>
    <s v="Ropa"/>
    <s v="Zapatos"/>
    <x v="1"/>
    <x v="7"/>
    <n v="9"/>
    <n v="305.81"/>
    <n v="2752.29"/>
    <n v="8.4"/>
    <n v="23119.24"/>
    <s v="Con ventas"/>
  </r>
  <r>
    <x v="0"/>
    <s v="Deportes"/>
    <s v="Balón"/>
    <x v="0"/>
    <x v="3"/>
    <n v="17"/>
    <n v="447.85"/>
    <n v="7613.45"/>
    <n v="7.52"/>
    <n v="57253.14"/>
    <s v="Con ventas"/>
  </r>
  <r>
    <x v="3"/>
    <s v="Deportes"/>
    <s v="Guantes"/>
    <x v="0"/>
    <x v="9"/>
    <n v="7"/>
    <n v="218.85"/>
    <n v="1531.95"/>
    <n v="8.42"/>
    <n v="12899.02"/>
    <s v="Con ventas"/>
  </r>
  <r>
    <x v="2"/>
    <s v="Ropa"/>
    <s v="Pantalón"/>
    <x v="1"/>
    <x v="9"/>
    <n v="11"/>
    <n v="497.39"/>
    <n v="5471.29"/>
    <n v="8.2799999999999994"/>
    <n v="45302.28"/>
    <s v="Con ventas"/>
  </r>
  <r>
    <x v="2"/>
    <s v="Electrónica"/>
    <s v="Smartphone"/>
    <x v="1"/>
    <x v="5"/>
    <n v="9"/>
    <n v="81.010000000000005"/>
    <n v="729.09"/>
    <n v="8.35"/>
    <n v="6087.9"/>
    <s v="Con ventas"/>
  </r>
  <r>
    <x v="2"/>
    <s v="Alimentos"/>
    <s v="Azúcar"/>
    <x v="0"/>
    <x v="1"/>
    <n v="4"/>
    <n v="200.49"/>
    <n v="801.96"/>
    <n v="8.3800000000000008"/>
    <n v="6720.42"/>
    <s v="Con ventas"/>
  </r>
  <r>
    <x v="3"/>
    <s v="Deportes"/>
    <s v="Bicicleta"/>
    <x v="0"/>
    <x v="11"/>
    <n v="19"/>
    <n v="263.39"/>
    <n v="5004.41"/>
    <n v="8.07"/>
    <n v="40385.589999999997"/>
    <s v="Con ventas"/>
  </r>
  <r>
    <x v="0"/>
    <s v="Alimentos"/>
    <s v="Azúcar"/>
    <x v="1"/>
    <x v="7"/>
    <n v="2"/>
    <n v="216.09"/>
    <n v="432.18"/>
    <n v="8.3000000000000007"/>
    <n v="3587.09"/>
    <s v="Con ventas"/>
  </r>
  <r>
    <x v="5"/>
    <s v="Deportes"/>
    <s v="Cuerda"/>
    <x v="1"/>
    <x v="9"/>
    <n v="19"/>
    <n v="235.53"/>
    <n v="4475.07"/>
    <n v="8.49"/>
    <n v="37993.339999999997"/>
    <s v="Con ventas"/>
  </r>
  <r>
    <x v="5"/>
    <s v="Alimentos"/>
    <s v="Azúcar"/>
    <x v="0"/>
    <x v="2"/>
    <n v="5"/>
    <n v="157.59"/>
    <n v="787.95"/>
    <n v="8.07"/>
    <n v="6358.76"/>
    <s v="Con ventas"/>
  </r>
  <r>
    <x v="1"/>
    <s v="Alimentos"/>
    <s v="Azúcar"/>
    <x v="2"/>
    <x v="1"/>
    <n v="16"/>
    <n v="463.14"/>
    <n v="7410.24"/>
    <n v="7.85"/>
    <n v="58170.38"/>
    <s v="Con ventas"/>
  </r>
  <r>
    <x v="5"/>
    <s v="Deportes"/>
    <s v="Cuerda"/>
    <x v="2"/>
    <x v="6"/>
    <n v="15"/>
    <n v="106.67"/>
    <n v="1600.05"/>
    <n v="7.71"/>
    <n v="12336.39"/>
    <s v="Con ventas"/>
  </r>
  <r>
    <x v="1"/>
    <s v="Deportes"/>
    <s v="Cuerda"/>
    <x v="3"/>
    <x v="11"/>
    <n v="10"/>
    <n v="288.43"/>
    <n v="2884.3"/>
    <n v="7.57"/>
    <n v="21834.15"/>
    <s v="Con ventas"/>
  </r>
  <r>
    <x v="5"/>
    <s v="Hogar"/>
    <s v="Lámpara"/>
    <x v="3"/>
    <x v="3"/>
    <n v="5"/>
    <n v="363.48"/>
    <n v="1817.4"/>
    <n v="8.11"/>
    <n v="14739.11"/>
    <s v="Con ventas"/>
  </r>
  <r>
    <x v="2"/>
    <s v="Electrónica"/>
    <s v="Smartphone"/>
    <x v="1"/>
    <x v="2"/>
    <n v="12"/>
    <n v="393.64"/>
    <n v="4723.68"/>
    <n v="8.44"/>
    <n v="39867.86"/>
    <s v="Con ventas"/>
  </r>
  <r>
    <x v="3"/>
    <s v="Hogar"/>
    <s v="Mesa"/>
    <x v="3"/>
    <x v="5"/>
    <n v="16"/>
    <n v="334.71"/>
    <n v="5355.36"/>
    <n v="7.92"/>
    <n v="42414.45"/>
    <s v="Con ventas"/>
  </r>
  <r>
    <x v="0"/>
    <s v="Hogar"/>
    <s v="Colchón"/>
    <x v="0"/>
    <x v="0"/>
    <n v="3"/>
    <n v="390.38"/>
    <n v="1171.1400000000001"/>
    <n v="8.17"/>
    <n v="9568.2099999999991"/>
    <s v="Con ventas"/>
  </r>
  <r>
    <x v="0"/>
    <s v="Deportes"/>
    <s v="Guantes"/>
    <x v="3"/>
    <x v="2"/>
    <n v="2"/>
    <n v="95.4"/>
    <n v="190.8"/>
    <n v="8.43"/>
    <n v="1608.44"/>
    <s v="Con ventas"/>
  </r>
  <r>
    <x v="3"/>
    <s v="Hogar"/>
    <s v="Colchón"/>
    <x v="0"/>
    <x v="6"/>
    <n v="1"/>
    <n v="325.13"/>
    <n v="325.13"/>
    <n v="7.51"/>
    <n v="2441.73"/>
    <s v="Con ventas"/>
  </r>
  <r>
    <x v="0"/>
    <s v="Alimentos"/>
    <s v="Cereal"/>
    <x v="0"/>
    <x v="3"/>
    <n v="6"/>
    <n v="331.73"/>
    <n v="1990.38"/>
    <n v="8.06"/>
    <n v="16042.46"/>
    <s v="Con ventas"/>
  </r>
  <r>
    <x v="4"/>
    <s v="Deportes"/>
    <s v="Balón"/>
    <x v="0"/>
    <x v="10"/>
    <n v="14"/>
    <n v="79.94"/>
    <n v="1119.1600000000001"/>
    <n v="8.41"/>
    <n v="9412.14"/>
    <s v="Con ventas"/>
  </r>
  <r>
    <x v="3"/>
    <s v="Hogar"/>
    <s v="Colchón"/>
    <x v="0"/>
    <x v="8"/>
    <n v="1"/>
    <n v="234.91"/>
    <n v="234.91"/>
    <n v="8.33"/>
    <n v="1956.8"/>
    <s v="Con ventas"/>
  </r>
  <r>
    <x v="3"/>
    <s v="Electrónica"/>
    <s v="Monitor"/>
    <x v="2"/>
    <x v="10"/>
    <n v="16"/>
    <n v="182.4"/>
    <n v="2918.4"/>
    <n v="8.07"/>
    <n v="23551.49"/>
    <s v="Con ventas"/>
  </r>
  <r>
    <x v="1"/>
    <s v="Alimentos"/>
    <s v="Aceite"/>
    <x v="1"/>
    <x v="4"/>
    <n v="2"/>
    <n v="134.41999999999999"/>
    <n v="268.83999999999997"/>
    <n v="7.58"/>
    <n v="2037.81"/>
    <s v="Con ventas"/>
  </r>
  <r>
    <x v="4"/>
    <s v="Ropa"/>
    <s v="Camisa"/>
    <x v="1"/>
    <x v="11"/>
    <n v="3"/>
    <n v="355.61"/>
    <n v="1066.83"/>
    <n v="7.51"/>
    <n v="8011.89"/>
    <s v="Con ventas"/>
  </r>
  <r>
    <x v="5"/>
    <s v="Ropa"/>
    <s v="Pantalón"/>
    <x v="2"/>
    <x v="7"/>
    <n v="9"/>
    <n v="325.37"/>
    <n v="2928.33"/>
    <n v="8.48"/>
    <n v="24832.240000000002"/>
    <s v="Con ventas"/>
  </r>
  <r>
    <x v="1"/>
    <s v="Deportes"/>
    <s v="Balón"/>
    <x v="2"/>
    <x v="5"/>
    <n v="5"/>
    <n v="123.98"/>
    <n v="619.9"/>
    <n v="8.14"/>
    <n v="5045.99"/>
    <s v="Con ventas"/>
  </r>
  <r>
    <x v="1"/>
    <s v="Alimentos"/>
    <s v="Cereal"/>
    <x v="3"/>
    <x v="3"/>
    <n v="17"/>
    <n v="58.6"/>
    <n v="996.2"/>
    <n v="7.9"/>
    <n v="7869.98"/>
    <s v="Con ventas"/>
  </r>
  <r>
    <x v="2"/>
    <s v="Alimentos"/>
    <s v="Aceite"/>
    <x v="1"/>
    <x v="1"/>
    <n v="9"/>
    <n v="57.16"/>
    <n v="514.44000000000005"/>
    <n v="8.2799999999999994"/>
    <n v="4259.5600000000004"/>
    <s v="Con ventas"/>
  </r>
  <r>
    <x v="5"/>
    <s v="Ropa"/>
    <s v="Pantalón"/>
    <x v="2"/>
    <x v="3"/>
    <n v="6"/>
    <n v="112.75"/>
    <n v="676.5"/>
    <n v="7.63"/>
    <n v="5161.6899999999996"/>
    <s v="Con ventas"/>
  </r>
  <r>
    <x v="1"/>
    <s v="Alimentos"/>
    <s v="Cereal"/>
    <x v="3"/>
    <x v="5"/>
    <n v="1"/>
    <n v="393.12"/>
    <n v="393.12"/>
    <n v="7.9"/>
    <n v="3105.65"/>
    <s v="Con ventas"/>
  </r>
  <r>
    <x v="0"/>
    <s v="Alimentos"/>
    <s v="Café"/>
    <x v="2"/>
    <x v="5"/>
    <n v="20"/>
    <n v="276.39"/>
    <n v="5527.8"/>
    <n v="8.1"/>
    <n v="44775.18"/>
    <s v="Con ventas"/>
  </r>
  <r>
    <x v="3"/>
    <s v="Hogar"/>
    <s v="Lámpara"/>
    <x v="1"/>
    <x v="6"/>
    <n v="8"/>
    <n v="385.9"/>
    <n v="3087.2"/>
    <n v="7.68"/>
    <n v="23709.7"/>
    <s v="Con ventas"/>
  </r>
  <r>
    <x v="0"/>
    <s v="Hogar"/>
    <s v="Lámpara"/>
    <x v="0"/>
    <x v="4"/>
    <n v="18"/>
    <n v="308.31"/>
    <n v="5549.58"/>
    <n v="7.86"/>
    <n v="43619.7"/>
    <s v="Con ventas"/>
  </r>
  <r>
    <x v="5"/>
    <s v="Ropa"/>
    <s v="Pantalón"/>
    <x v="1"/>
    <x v="1"/>
    <n v="7"/>
    <n v="383.04"/>
    <n v="2681.28"/>
    <n v="7.69"/>
    <n v="20619.04"/>
    <s v="Con ventas"/>
  </r>
  <r>
    <x v="3"/>
    <s v="Ropa"/>
    <s v="Chaqueta"/>
    <x v="0"/>
    <x v="10"/>
    <n v="7"/>
    <n v="455.76"/>
    <n v="3190.32"/>
    <n v="8.31"/>
    <n v="26511.56"/>
    <s v="Con ventas"/>
  </r>
  <r>
    <x v="2"/>
    <s v="Ropa"/>
    <s v="Zapatos"/>
    <x v="0"/>
    <x v="3"/>
    <n v="15"/>
    <n v="257.58"/>
    <n v="3863.7"/>
    <n v="7.58"/>
    <n v="29286.85"/>
    <s v="Con ventas"/>
  </r>
  <r>
    <x v="5"/>
    <s v="Electrónica"/>
    <s v="Laptop"/>
    <x v="3"/>
    <x v="11"/>
    <n v="18"/>
    <n v="102.31"/>
    <n v="1841.58"/>
    <n v="7.6"/>
    <n v="13996.01"/>
    <s v="Con ventas"/>
  </r>
  <r>
    <x v="5"/>
    <s v="Alimentos"/>
    <s v="Azúcar"/>
    <x v="2"/>
    <x v="5"/>
    <n v="18"/>
    <n v="458.43"/>
    <n v="8251.74"/>
    <n v="8"/>
    <n v="66013.919999999998"/>
    <s v="Con ventas"/>
  </r>
  <r>
    <x v="3"/>
    <s v="Electrónica"/>
    <s v="Monitor"/>
    <x v="2"/>
    <x v="3"/>
    <n v="8"/>
    <n v="101.72"/>
    <n v="813.76"/>
    <n v="7.96"/>
    <n v="6477.53"/>
    <s v="Con ventas"/>
  </r>
  <r>
    <x v="2"/>
    <s v="Deportes"/>
    <s v="Cuerda"/>
    <x v="1"/>
    <x v="0"/>
    <n v="5"/>
    <n v="248.2"/>
    <n v="1241"/>
    <n v="8.06"/>
    <n v="10002.459999999999"/>
    <s v="Con ventas"/>
  </r>
  <r>
    <x v="0"/>
    <s v="Alimentos"/>
    <s v="Azúcar"/>
    <x v="0"/>
    <x v="1"/>
    <n v="20"/>
    <n v="264.74"/>
    <n v="5294.8"/>
    <n v="7.6"/>
    <n v="40240.480000000003"/>
    <s v="Con ventas"/>
  </r>
  <r>
    <x v="5"/>
    <s v="Hogar"/>
    <s v="Lámpara"/>
    <x v="0"/>
    <x v="9"/>
    <n v="13"/>
    <n v="335.72"/>
    <n v="4364.3599999999997"/>
    <n v="7.9"/>
    <n v="34478.44"/>
    <s v="Con ventas"/>
  </r>
  <r>
    <x v="3"/>
    <s v="Hogar"/>
    <s v="Colchón"/>
    <x v="1"/>
    <x v="3"/>
    <n v="13"/>
    <n v="70.64"/>
    <n v="918.32"/>
    <n v="7.84"/>
    <n v="7199.63"/>
    <s v="Con ventas"/>
  </r>
  <r>
    <x v="5"/>
    <s v="Hogar"/>
    <s v="Silla"/>
    <x v="1"/>
    <x v="8"/>
    <n v="17"/>
    <n v="12.22"/>
    <n v="207.74"/>
    <n v="7.8"/>
    <n v="1620.37"/>
    <s v="Con ventas"/>
  </r>
  <r>
    <x v="4"/>
    <s v="Deportes"/>
    <s v="Cuerda"/>
    <x v="0"/>
    <x v="0"/>
    <n v="9"/>
    <n v="436.65"/>
    <n v="3929.85"/>
    <n v="8.44"/>
    <n v="33167.93"/>
    <s v="Con ventas"/>
  </r>
  <r>
    <x v="0"/>
    <s v="Hogar"/>
    <s v="Colchón"/>
    <x v="1"/>
    <x v="7"/>
    <n v="15"/>
    <n v="154.4"/>
    <n v="2316"/>
    <n v="7.53"/>
    <n v="17439.48"/>
    <s v="Con ventas"/>
  </r>
  <r>
    <x v="4"/>
    <s v="Ropa"/>
    <s v="Zapatos"/>
    <x v="0"/>
    <x v="1"/>
    <n v="3"/>
    <n v="170.94"/>
    <n v="512.82000000000005"/>
    <n v="7.71"/>
    <n v="3953.84"/>
    <s v="Con ventas"/>
  </r>
  <r>
    <x v="4"/>
    <s v="Ropa"/>
    <s v="Chaqueta"/>
    <x v="0"/>
    <x v="6"/>
    <n v="9"/>
    <n v="22.51"/>
    <n v="202.59"/>
    <n v="8.4600000000000009"/>
    <n v="1713.91"/>
    <s v="Con ventas"/>
  </r>
  <r>
    <x v="3"/>
    <s v="Deportes"/>
    <s v="Bicicleta"/>
    <x v="1"/>
    <x v="7"/>
    <n v="9"/>
    <n v="190.38"/>
    <n v="1713.42"/>
    <n v="8.43"/>
    <n v="14444.13"/>
    <s v="Con ventas"/>
  </r>
  <r>
    <x v="3"/>
    <s v="Hogar"/>
    <s v="Silla"/>
    <x v="3"/>
    <x v="9"/>
    <n v="15"/>
    <n v="97.81"/>
    <n v="1467.15"/>
    <n v="7.71"/>
    <n v="11311.73"/>
    <s v="Con ventas"/>
  </r>
  <r>
    <x v="4"/>
    <s v="Alimentos"/>
    <s v="Café"/>
    <x v="3"/>
    <x v="11"/>
    <n v="8"/>
    <n v="486.26"/>
    <n v="3890.08"/>
    <n v="7.84"/>
    <n v="30498.23"/>
    <s v="Con ventas"/>
  </r>
  <r>
    <x v="5"/>
    <s v="Hogar"/>
    <s v="Colchón"/>
    <x v="1"/>
    <x v="11"/>
    <n v="7"/>
    <n v="491.59"/>
    <n v="3441.13"/>
    <n v="7.54"/>
    <n v="25946.12"/>
    <s v="Con ventas"/>
  </r>
  <r>
    <x v="1"/>
    <s v="Electrónica"/>
    <s v="Laptop"/>
    <x v="3"/>
    <x v="10"/>
    <n v="6"/>
    <n v="468.92"/>
    <n v="2813.52"/>
    <n v="8.24"/>
    <n v="23183.4"/>
    <s v="Con ventas"/>
  </r>
  <r>
    <x v="0"/>
    <s v="Electrónica"/>
    <s v="Auriculares"/>
    <x v="1"/>
    <x v="10"/>
    <n v="4"/>
    <n v="170.56"/>
    <n v="682.24"/>
    <n v="8.4600000000000009"/>
    <n v="5771.75"/>
    <s v="Con ventas"/>
  </r>
  <r>
    <x v="2"/>
    <s v="Hogar"/>
    <s v="Colchón"/>
    <x v="1"/>
    <x v="6"/>
    <n v="18"/>
    <n v="434.6"/>
    <n v="7822.8"/>
    <n v="8.33"/>
    <n v="65163.92"/>
    <s v="Con ventas"/>
  </r>
  <r>
    <x v="5"/>
    <s v="Deportes"/>
    <s v="Balón"/>
    <x v="1"/>
    <x v="10"/>
    <n v="9"/>
    <n v="81.67"/>
    <n v="735.03"/>
    <n v="7.67"/>
    <n v="5637.68"/>
    <s v="Con ventas"/>
  </r>
  <r>
    <x v="2"/>
    <s v="Hogar"/>
    <s v="Lámpara"/>
    <x v="0"/>
    <x v="3"/>
    <n v="16"/>
    <n v="308"/>
    <n v="4928"/>
    <n v="8.01"/>
    <n v="39473.279999999999"/>
    <s v="Con ventas"/>
  </r>
  <r>
    <x v="1"/>
    <s v="Hogar"/>
    <s v="Silla"/>
    <x v="0"/>
    <x v="9"/>
    <n v="16"/>
    <n v="455.76"/>
    <n v="7292.16"/>
    <n v="7.73"/>
    <n v="56368.4"/>
    <s v="Con ventas"/>
  </r>
  <r>
    <x v="2"/>
    <s v="Ropa"/>
    <s v="Camisa"/>
    <x v="1"/>
    <x v="2"/>
    <n v="5"/>
    <n v="170.01"/>
    <n v="850.05"/>
    <n v="8.49"/>
    <n v="7216.92"/>
    <s v="Con ventas"/>
  </r>
  <r>
    <x v="0"/>
    <s v="Alimentos"/>
    <s v="Azúcar"/>
    <x v="1"/>
    <x v="7"/>
    <n v="7"/>
    <n v="149.31"/>
    <n v="1045.17"/>
    <n v="7.66"/>
    <n v="8006"/>
    <s v="Con ventas"/>
  </r>
  <r>
    <x v="0"/>
    <s v="Ropa"/>
    <s v="Pantalón"/>
    <x v="1"/>
    <x v="6"/>
    <n v="16"/>
    <n v="224.99"/>
    <n v="3599.84"/>
    <n v="7.54"/>
    <n v="27142.79"/>
    <s v="Con ventas"/>
  </r>
  <r>
    <x v="0"/>
    <s v="Electrónica"/>
    <s v="Auriculares"/>
    <x v="3"/>
    <x v="0"/>
    <n v="18"/>
    <n v="165.67"/>
    <n v="2982.06"/>
    <n v="7.69"/>
    <n v="22932.04"/>
    <s v="Con ventas"/>
  </r>
  <r>
    <x v="4"/>
    <s v="Alimentos"/>
    <s v="Cereal"/>
    <x v="2"/>
    <x v="10"/>
    <n v="13"/>
    <n v="140.81"/>
    <n v="1830.53"/>
    <n v="8.39"/>
    <n v="15358.15"/>
    <s v="Con ventas"/>
  </r>
  <r>
    <x v="1"/>
    <s v="Electrónica"/>
    <s v="Auriculares"/>
    <x v="1"/>
    <x v="10"/>
    <n v="6"/>
    <n v="486.52"/>
    <n v="2919.12"/>
    <n v="8.02"/>
    <n v="23411.34"/>
    <s v="Con ventas"/>
  </r>
  <r>
    <x v="3"/>
    <s v="Hogar"/>
    <s v="Lámpara"/>
    <x v="1"/>
    <x v="4"/>
    <n v="16"/>
    <n v="54.94"/>
    <n v="879.04"/>
    <n v="8.31"/>
    <n v="7304.82"/>
    <s v="Con ventas"/>
  </r>
  <r>
    <x v="1"/>
    <s v="Ropa"/>
    <s v="Camisa"/>
    <x v="3"/>
    <x v="4"/>
    <n v="9"/>
    <n v="137.34"/>
    <n v="1236.06"/>
    <n v="7.62"/>
    <n v="9418.7800000000007"/>
    <s v="Con ventas"/>
  </r>
  <r>
    <x v="5"/>
    <s v="Deportes"/>
    <s v="Cuerda"/>
    <x v="1"/>
    <x v="10"/>
    <n v="9"/>
    <n v="31.87"/>
    <n v="286.83"/>
    <n v="8.2200000000000006"/>
    <n v="2357.7399999999998"/>
    <s v="Con ventas"/>
  </r>
  <r>
    <x v="4"/>
    <s v="Hogar"/>
    <s v="Mesa"/>
    <x v="3"/>
    <x v="1"/>
    <n v="13"/>
    <n v="143.96"/>
    <n v="1871.48"/>
    <n v="8.34"/>
    <n v="15608.14"/>
    <s v="Con ventas"/>
  </r>
  <r>
    <x v="4"/>
    <s v="Hogar"/>
    <s v="Lámpara"/>
    <x v="2"/>
    <x v="9"/>
    <n v="4"/>
    <n v="458.46"/>
    <n v="1833.84"/>
    <n v="8.01"/>
    <n v="14689.06"/>
    <s v="Con ventas"/>
  </r>
  <r>
    <x v="2"/>
    <s v="Electrónica"/>
    <s v="Laptop"/>
    <x v="0"/>
    <x v="6"/>
    <n v="18"/>
    <n v="344.67"/>
    <n v="6204.06"/>
    <n v="8.3000000000000007"/>
    <n v="51493.7"/>
    <s v="Con ventas"/>
  </r>
  <r>
    <x v="3"/>
    <s v="Alimentos"/>
    <s v="Azúcar"/>
    <x v="3"/>
    <x v="6"/>
    <n v="19"/>
    <n v="205.26"/>
    <n v="3899.94"/>
    <n v="8.23"/>
    <n v="32096.51"/>
    <s v="Con ventas"/>
  </r>
  <r>
    <x v="1"/>
    <s v="Deportes"/>
    <s v="Bicicleta"/>
    <x v="2"/>
    <x v="11"/>
    <n v="16"/>
    <n v="119.36"/>
    <n v="1909.76"/>
    <n v="8.1"/>
    <n v="15469.06"/>
    <s v="Con ventas"/>
  </r>
  <r>
    <x v="4"/>
    <s v="Deportes"/>
    <s v="Bicicleta"/>
    <x v="2"/>
    <x v="11"/>
    <n v="2"/>
    <n v="324.27"/>
    <n v="648.54"/>
    <n v="7.7"/>
    <n v="4993.76"/>
    <s v="Con ventas"/>
  </r>
  <r>
    <x v="0"/>
    <s v="Deportes"/>
    <s v="Bicicleta"/>
    <x v="3"/>
    <x v="4"/>
    <n v="14"/>
    <n v="328.64"/>
    <n v="4600.96"/>
    <n v="8.41"/>
    <n v="38694.07"/>
    <s v="Con ventas"/>
  </r>
  <r>
    <x v="2"/>
    <s v="Ropa"/>
    <s v="Zapatos"/>
    <x v="3"/>
    <x v="9"/>
    <n v="18"/>
    <n v="135.06"/>
    <n v="2431.08"/>
    <n v="8.02"/>
    <n v="19497.259999999998"/>
    <s v="Con ventas"/>
  </r>
  <r>
    <x v="1"/>
    <s v="Deportes"/>
    <s v="Balón"/>
    <x v="0"/>
    <x v="3"/>
    <n v="12"/>
    <n v="324.56"/>
    <n v="3894.72"/>
    <n v="8.19"/>
    <n v="31897.759999999998"/>
    <s v="Con ventas"/>
  </r>
  <r>
    <x v="0"/>
    <s v="Alimentos"/>
    <s v="Café"/>
    <x v="2"/>
    <x v="5"/>
    <n v="19"/>
    <n v="99.59"/>
    <n v="1892.21"/>
    <n v="8.35"/>
    <n v="15799.95"/>
    <s v="Con ventas"/>
  </r>
  <r>
    <x v="2"/>
    <s v="Alimentos"/>
    <s v="Café"/>
    <x v="2"/>
    <x v="3"/>
    <n v="8"/>
    <n v="167.62"/>
    <n v="1340.96"/>
    <n v="7.91"/>
    <n v="10606.99"/>
    <s v="Con ventas"/>
  </r>
  <r>
    <x v="1"/>
    <s v="Hogar"/>
    <s v="Mesa"/>
    <x v="3"/>
    <x v="10"/>
    <n v="3"/>
    <n v="395.51"/>
    <n v="1186.53"/>
    <n v="7.56"/>
    <n v="8970.17"/>
    <s v="Con ventas"/>
  </r>
  <r>
    <x v="2"/>
    <s v="Alimentos"/>
    <s v="Aceite"/>
    <x v="0"/>
    <x v="2"/>
    <n v="17"/>
    <n v="478.59"/>
    <n v="8136.03"/>
    <n v="8.42"/>
    <n v="68505.37"/>
    <s v="Con ventas"/>
  </r>
  <r>
    <x v="1"/>
    <s v="Alimentos"/>
    <s v="Café"/>
    <x v="1"/>
    <x v="6"/>
    <n v="1"/>
    <n v="408"/>
    <n v="408"/>
    <n v="7.72"/>
    <n v="3149.76"/>
    <s v="Con ventas"/>
  </r>
  <r>
    <x v="4"/>
    <s v="Alimentos"/>
    <s v="Azúcar"/>
    <x v="0"/>
    <x v="11"/>
    <n v="4"/>
    <n v="243.24"/>
    <n v="972.96"/>
    <n v="7.93"/>
    <n v="7715.57"/>
    <s v="Con ventas"/>
  </r>
  <r>
    <x v="5"/>
    <s v="Electrónica"/>
    <s v="Laptop"/>
    <x v="0"/>
    <x v="8"/>
    <n v="8"/>
    <n v="20.79"/>
    <n v="166.32"/>
    <n v="7.92"/>
    <n v="1317.25"/>
    <s v="Con ventas"/>
  </r>
  <r>
    <x v="5"/>
    <s v="Deportes"/>
    <s v="Cuerda"/>
    <x v="3"/>
    <x v="8"/>
    <n v="19"/>
    <n v="238.04"/>
    <n v="4522.76"/>
    <n v="7.97"/>
    <n v="36046.400000000001"/>
    <s v="Con ventas"/>
  </r>
  <r>
    <x v="5"/>
    <s v="Electrónica"/>
    <s v="Monitor"/>
    <x v="3"/>
    <x v="5"/>
    <n v="9"/>
    <n v="483.3"/>
    <n v="4349.7"/>
    <n v="7.74"/>
    <n v="33666.68"/>
    <s v="Con ventas"/>
  </r>
  <r>
    <x v="2"/>
    <s v="Alimentos"/>
    <s v="Aceite"/>
    <x v="1"/>
    <x v="0"/>
    <n v="3"/>
    <n v="86.83"/>
    <n v="260.49"/>
    <n v="8.3800000000000008"/>
    <n v="2182.91"/>
    <s v="Con ventas"/>
  </r>
  <r>
    <x v="1"/>
    <s v="Deportes"/>
    <s v="Bicicleta"/>
    <x v="3"/>
    <x v="2"/>
    <n v="20"/>
    <n v="328.92"/>
    <n v="6578.4"/>
    <n v="8.43"/>
    <n v="55455.91"/>
    <s v="Con ventas"/>
  </r>
  <r>
    <x v="0"/>
    <s v="Ropa"/>
    <s v="Camisa"/>
    <x v="3"/>
    <x v="8"/>
    <n v="14"/>
    <n v="449.36"/>
    <n v="6291.04"/>
    <n v="8.14"/>
    <n v="51209.07"/>
    <s v="Con ventas"/>
  </r>
  <r>
    <x v="1"/>
    <s v="Electrónica"/>
    <s v="Smartphone"/>
    <x v="3"/>
    <x v="11"/>
    <n v="17"/>
    <n v="51.73"/>
    <n v="879.41"/>
    <n v="7.78"/>
    <n v="6841.81"/>
    <s v="Con ventas"/>
  </r>
  <r>
    <x v="0"/>
    <s v="Hogar"/>
    <s v="Lámpara"/>
    <x v="2"/>
    <x v="11"/>
    <n v="14"/>
    <n v="30.98"/>
    <n v="433.72"/>
    <n v="8.26"/>
    <n v="3582.53"/>
    <s v="Con ventas"/>
  </r>
  <r>
    <x v="2"/>
    <s v="Alimentos"/>
    <s v="Café"/>
    <x v="2"/>
    <x v="1"/>
    <n v="19"/>
    <n v="409.53"/>
    <n v="7781.07"/>
    <n v="7.59"/>
    <n v="59058.32"/>
    <s v="Con ventas"/>
  </r>
  <r>
    <x v="0"/>
    <s v="Hogar"/>
    <s v="Silla"/>
    <x v="2"/>
    <x v="4"/>
    <n v="8"/>
    <n v="352.64"/>
    <n v="2821.12"/>
    <n v="8.39"/>
    <n v="23669.200000000001"/>
    <s v="Con ventas"/>
  </r>
  <r>
    <x v="3"/>
    <s v="Electrónica"/>
    <s v="Smartphone"/>
    <x v="2"/>
    <x v="6"/>
    <n v="10"/>
    <n v="29.27"/>
    <n v="292.7"/>
    <n v="8.49"/>
    <n v="2485.02"/>
    <s v="Con ventas"/>
  </r>
  <r>
    <x v="4"/>
    <s v="Electrónica"/>
    <s v="Smartphone"/>
    <x v="2"/>
    <x v="5"/>
    <n v="14"/>
    <n v="177.37"/>
    <n v="2483.1799999999998"/>
    <n v="7.85"/>
    <n v="19492.96"/>
    <s v="Con ventas"/>
  </r>
  <r>
    <x v="3"/>
    <s v="Electrónica"/>
    <s v="Monitor"/>
    <x v="1"/>
    <x v="10"/>
    <n v="14"/>
    <n v="116.04"/>
    <n v="1624.56"/>
    <n v="7.85"/>
    <n v="12752.8"/>
    <s v="Con ventas"/>
  </r>
  <r>
    <x v="5"/>
    <s v="Deportes"/>
    <s v="Cuerda"/>
    <x v="3"/>
    <x v="8"/>
    <n v="12"/>
    <n v="32.65"/>
    <n v="391.8"/>
    <n v="8.06"/>
    <n v="3157.91"/>
    <s v="Con ventas"/>
  </r>
  <r>
    <x v="4"/>
    <s v="Alimentos"/>
    <s v="Café"/>
    <x v="2"/>
    <x v="2"/>
    <n v="12"/>
    <n v="40.700000000000003"/>
    <n v="488.4"/>
    <n v="7.51"/>
    <n v="3667.88"/>
    <s v="Con ventas"/>
  </r>
  <r>
    <x v="3"/>
    <s v="Hogar"/>
    <s v="Colchón"/>
    <x v="0"/>
    <x v="3"/>
    <n v="10"/>
    <n v="493.97"/>
    <n v="4939.7"/>
    <n v="7.51"/>
    <n v="37097.15"/>
    <s v="Con ventas"/>
  </r>
  <r>
    <x v="5"/>
    <s v="Ropa"/>
    <s v="Pantalón"/>
    <x v="1"/>
    <x v="2"/>
    <n v="6"/>
    <n v="49.77"/>
    <n v="298.62"/>
    <n v="8.3800000000000008"/>
    <n v="2502.44"/>
    <s v="Con ventas"/>
  </r>
  <r>
    <x v="1"/>
    <s v="Ropa"/>
    <s v="Camisa"/>
    <x v="2"/>
    <x v="7"/>
    <n v="12"/>
    <n v="451.63"/>
    <n v="5419.56"/>
    <n v="8.23"/>
    <n v="44602.98"/>
    <s v="Con ventas"/>
  </r>
  <r>
    <x v="3"/>
    <s v="Deportes"/>
    <s v="Guantes"/>
    <x v="2"/>
    <x v="5"/>
    <n v="12"/>
    <n v="229.38"/>
    <n v="2752.56"/>
    <n v="7.62"/>
    <n v="20974.51"/>
    <s v="Con ventas"/>
  </r>
  <r>
    <x v="1"/>
    <s v="Hogar"/>
    <s v="Silla"/>
    <x v="1"/>
    <x v="5"/>
    <n v="18"/>
    <n v="375.44"/>
    <n v="6757.92"/>
    <n v="7.56"/>
    <n v="51089.88"/>
    <s v="Con ventas"/>
  </r>
  <r>
    <x v="4"/>
    <s v="Electrónica"/>
    <s v="Smartphone"/>
    <x v="3"/>
    <x v="6"/>
    <n v="5"/>
    <n v="174.64"/>
    <n v="873.2"/>
    <n v="7.78"/>
    <n v="6793.5"/>
    <s v="Con ventas"/>
  </r>
  <r>
    <x v="0"/>
    <s v="Hogar"/>
    <s v="Lámpara"/>
    <x v="2"/>
    <x v="4"/>
    <n v="16"/>
    <n v="219.57"/>
    <n v="3513.12"/>
    <n v="7.64"/>
    <n v="26840.240000000002"/>
    <s v="Con ventas"/>
  </r>
  <r>
    <x v="2"/>
    <s v="Alimentos"/>
    <s v="Café"/>
    <x v="2"/>
    <x v="2"/>
    <n v="16"/>
    <n v="63.78"/>
    <n v="1020.48"/>
    <n v="7.66"/>
    <n v="7816.88"/>
    <s v="Con ventas"/>
  </r>
  <r>
    <x v="1"/>
    <s v="Alimentos"/>
    <s v="Cereal"/>
    <x v="2"/>
    <x v="7"/>
    <n v="14"/>
    <n v="454.01"/>
    <n v="6356.14"/>
    <n v="8.49"/>
    <n v="53963.63"/>
    <s v="Con ventas"/>
  </r>
  <r>
    <x v="4"/>
    <s v="Electrónica"/>
    <s v="Smartphone"/>
    <x v="3"/>
    <x v="3"/>
    <n v="15"/>
    <n v="212.55"/>
    <n v="3188.25"/>
    <n v="8.41"/>
    <n v="26813.18"/>
    <s v="Con ventas"/>
  </r>
  <r>
    <x v="1"/>
    <s v="Ropa"/>
    <s v="Zapatos"/>
    <x v="2"/>
    <x v="3"/>
    <n v="8"/>
    <n v="232.42"/>
    <n v="1859.36"/>
    <n v="8.0399999999999991"/>
    <n v="14949.25"/>
    <s v="Con ventas"/>
  </r>
  <r>
    <x v="3"/>
    <s v="Deportes"/>
    <s v="Bicicleta"/>
    <x v="2"/>
    <x v="5"/>
    <n v="8"/>
    <n v="50.17"/>
    <n v="401.36"/>
    <n v="7.83"/>
    <n v="3142.65"/>
    <s v="Con ventas"/>
  </r>
  <r>
    <x v="0"/>
    <s v="Deportes"/>
    <s v="Bicicleta"/>
    <x v="0"/>
    <x v="3"/>
    <n v="12"/>
    <n v="261.02999999999997"/>
    <n v="3132.36"/>
    <n v="8.43"/>
    <n v="26405.79"/>
    <s v="Con ventas"/>
  </r>
  <r>
    <x v="3"/>
    <s v="Deportes"/>
    <s v="Bicicleta"/>
    <x v="2"/>
    <x v="2"/>
    <n v="13"/>
    <n v="309.43"/>
    <n v="4022.59"/>
    <n v="7.96"/>
    <n v="32019.82"/>
    <s v="Con ventas"/>
  </r>
  <r>
    <x v="2"/>
    <s v="Alimentos"/>
    <s v="Café"/>
    <x v="0"/>
    <x v="2"/>
    <n v="18"/>
    <n v="195.99"/>
    <n v="3527.82"/>
    <n v="8.39"/>
    <n v="29598.41"/>
    <s v="Con ventas"/>
  </r>
  <r>
    <x v="1"/>
    <s v="Ropa"/>
    <s v="Zapatos"/>
    <x v="2"/>
    <x v="5"/>
    <n v="16"/>
    <n v="285.33"/>
    <n v="4565.28"/>
    <n v="8.33"/>
    <n v="38028.78"/>
    <s v="Con ventas"/>
  </r>
  <r>
    <x v="1"/>
    <s v="Hogar"/>
    <s v="Mesa"/>
    <x v="0"/>
    <x v="11"/>
    <n v="16"/>
    <n v="83.89"/>
    <n v="1342.24"/>
    <n v="8.4600000000000009"/>
    <n v="11355.35"/>
    <s v="Con ventas"/>
  </r>
  <r>
    <x v="1"/>
    <s v="Deportes"/>
    <s v="Balón"/>
    <x v="0"/>
    <x v="2"/>
    <n v="9"/>
    <n v="95.39"/>
    <n v="858.51"/>
    <n v="7.89"/>
    <n v="6773.64"/>
    <s v="Con ventas"/>
  </r>
  <r>
    <x v="4"/>
    <s v="Ropa"/>
    <s v="Chaqueta"/>
    <x v="0"/>
    <x v="4"/>
    <n v="10"/>
    <n v="127.15"/>
    <n v="1271.5"/>
    <n v="8.07"/>
    <n v="10261.01"/>
    <s v="Con ventas"/>
  </r>
  <r>
    <x v="0"/>
    <s v="Hogar"/>
    <s v="Silla"/>
    <x v="0"/>
    <x v="7"/>
    <n v="5"/>
    <n v="43.01"/>
    <n v="215.05"/>
    <n v="8.1999999999999993"/>
    <n v="1763.41"/>
    <s v="Con ventas"/>
  </r>
  <r>
    <x v="3"/>
    <s v="Alimentos"/>
    <s v="Azúcar"/>
    <x v="0"/>
    <x v="2"/>
    <n v="18"/>
    <n v="397.77"/>
    <n v="7159.86"/>
    <n v="7.93"/>
    <n v="56777.69"/>
    <s v="Con ventas"/>
  </r>
  <r>
    <x v="4"/>
    <s v="Deportes"/>
    <s v="Bicicleta"/>
    <x v="1"/>
    <x v="6"/>
    <n v="13"/>
    <n v="416.73"/>
    <n v="5417.49"/>
    <n v="7.89"/>
    <n v="42744"/>
    <s v="Con ventas"/>
  </r>
  <r>
    <x v="3"/>
    <s v="Electrónica"/>
    <s v="Monitor"/>
    <x v="0"/>
    <x v="1"/>
    <n v="18"/>
    <n v="469.8"/>
    <n v="8456.4"/>
    <n v="8.4499999999999993"/>
    <n v="71456.58"/>
    <s v="Con ventas"/>
  </r>
  <r>
    <x v="4"/>
    <s v="Ropa"/>
    <s v="Pantalón"/>
    <x v="2"/>
    <x v="4"/>
    <n v="14"/>
    <n v="36.26"/>
    <n v="507.64"/>
    <n v="7.91"/>
    <n v="4015.43"/>
    <s v="Con ventas"/>
  </r>
  <r>
    <x v="4"/>
    <s v="Hogar"/>
    <s v="Mesa"/>
    <x v="0"/>
    <x v="5"/>
    <n v="15"/>
    <n v="378.84"/>
    <n v="5682.6"/>
    <n v="8.0500000000000007"/>
    <n v="45744.93"/>
    <s v="Con ventas"/>
  </r>
  <r>
    <x v="5"/>
    <s v="Alimentos"/>
    <s v="Azúcar"/>
    <x v="1"/>
    <x v="7"/>
    <n v="11"/>
    <n v="196.75"/>
    <n v="2164.25"/>
    <n v="7.94"/>
    <n v="17184.150000000001"/>
    <s v="Con ventas"/>
  </r>
  <r>
    <x v="2"/>
    <s v="Hogar"/>
    <s v="Mesa"/>
    <x v="3"/>
    <x v="10"/>
    <n v="7"/>
    <n v="433.95"/>
    <n v="3037.65"/>
    <n v="8.41"/>
    <n v="25546.639999999999"/>
    <s v="Con ventas"/>
  </r>
  <r>
    <x v="3"/>
    <s v="Hogar"/>
    <s v="Colchón"/>
    <x v="2"/>
    <x v="9"/>
    <n v="15"/>
    <n v="334.34"/>
    <n v="5015.1000000000004"/>
    <n v="8.1999999999999993"/>
    <n v="41123.82"/>
    <s v="Con ventas"/>
  </r>
  <r>
    <x v="4"/>
    <s v="Alimentos"/>
    <s v="Aceite"/>
    <x v="1"/>
    <x v="8"/>
    <n v="9"/>
    <n v="248.84"/>
    <n v="2239.56"/>
    <n v="7.54"/>
    <n v="16886.28"/>
    <s v="Con ventas"/>
  </r>
  <r>
    <x v="3"/>
    <s v="Alimentos"/>
    <s v="Azúcar"/>
    <x v="2"/>
    <x v="8"/>
    <n v="1"/>
    <n v="234.11"/>
    <n v="234.11"/>
    <n v="8.36"/>
    <n v="1957.16"/>
    <s v="Con ventas"/>
  </r>
  <r>
    <x v="5"/>
    <s v="Alimentos"/>
    <s v="Aceite"/>
    <x v="3"/>
    <x v="6"/>
    <n v="10"/>
    <n v="77.680000000000007"/>
    <n v="776.8"/>
    <n v="7.98"/>
    <n v="6198.86"/>
    <s v="Con ventas"/>
  </r>
  <r>
    <x v="4"/>
    <s v="Electrónica"/>
    <s v="Smartphone"/>
    <x v="1"/>
    <x v="4"/>
    <n v="17"/>
    <n v="302.3"/>
    <n v="5139.1000000000004"/>
    <n v="8.49"/>
    <n v="43630.96"/>
    <s v="Con ventas"/>
  </r>
  <r>
    <x v="1"/>
    <s v="Ropa"/>
    <s v="Pantalón"/>
    <x v="2"/>
    <x v="11"/>
    <n v="9"/>
    <n v="156.22"/>
    <n v="1405.98"/>
    <n v="8.34"/>
    <n v="11725.87"/>
    <s v="Con ventas"/>
  </r>
  <r>
    <x v="4"/>
    <s v="Hogar"/>
    <s v="Colchón"/>
    <x v="0"/>
    <x v="3"/>
    <n v="11"/>
    <n v="177.53"/>
    <n v="1952.83"/>
    <n v="8.32"/>
    <n v="16247.55"/>
    <s v="Con ventas"/>
  </r>
  <r>
    <x v="3"/>
    <s v="Electrónica"/>
    <s v="Auriculares"/>
    <x v="0"/>
    <x v="7"/>
    <n v="15"/>
    <n v="402.06"/>
    <n v="6030.9"/>
    <n v="8.26"/>
    <n v="49815.23"/>
    <s v="Con ventas"/>
  </r>
  <r>
    <x v="3"/>
    <s v="Deportes"/>
    <s v="Cuerda"/>
    <x v="1"/>
    <x v="11"/>
    <n v="8"/>
    <n v="94.43"/>
    <n v="755.44"/>
    <n v="7.93"/>
    <n v="5990.64"/>
    <s v="Con ventas"/>
  </r>
  <r>
    <x v="0"/>
    <s v="Alimentos"/>
    <s v="Aceite"/>
    <x v="1"/>
    <x v="9"/>
    <n v="9"/>
    <n v="172.98"/>
    <n v="1556.82"/>
    <n v="7.95"/>
    <n v="12376.72"/>
    <s v="Con ventas"/>
  </r>
  <r>
    <x v="0"/>
    <s v="Ropa"/>
    <s v="Camisa"/>
    <x v="0"/>
    <x v="9"/>
    <n v="15"/>
    <n v="238.9"/>
    <n v="3583.5"/>
    <n v="8.25"/>
    <n v="29563.88"/>
    <s v="Con ventas"/>
  </r>
  <r>
    <x v="0"/>
    <s v="Electrónica"/>
    <s v="Smartphone"/>
    <x v="3"/>
    <x v="6"/>
    <n v="7"/>
    <n v="142.08000000000001"/>
    <n v="994.56"/>
    <n v="8.35"/>
    <n v="8304.58"/>
    <s v="Con ventas"/>
  </r>
  <r>
    <x v="2"/>
    <s v="Electrónica"/>
    <s v="Laptop"/>
    <x v="2"/>
    <x v="5"/>
    <n v="9"/>
    <n v="48.06"/>
    <n v="432.54"/>
    <n v="7.68"/>
    <n v="3321.91"/>
    <s v="Con ventas"/>
  </r>
  <r>
    <x v="0"/>
    <s v="Electrónica"/>
    <s v="Laptop"/>
    <x v="0"/>
    <x v="2"/>
    <n v="19"/>
    <n v="201.39"/>
    <n v="3826.41"/>
    <n v="8.01"/>
    <n v="30649.54"/>
    <s v="Con ventas"/>
  </r>
  <r>
    <x v="4"/>
    <s v="Deportes"/>
    <s v="Cuerda"/>
    <x v="2"/>
    <x v="11"/>
    <n v="8"/>
    <n v="99.94"/>
    <n v="799.52"/>
    <n v="8.0500000000000007"/>
    <n v="6436.14"/>
    <s v="Con ventas"/>
  </r>
  <r>
    <x v="0"/>
    <s v="Deportes"/>
    <s v="Guantes"/>
    <x v="0"/>
    <x v="10"/>
    <n v="8"/>
    <n v="430.97"/>
    <n v="3447.76"/>
    <n v="7.71"/>
    <n v="26582.23"/>
    <s v="Con ventas"/>
  </r>
  <r>
    <x v="0"/>
    <s v="Deportes"/>
    <s v="Guantes"/>
    <x v="1"/>
    <x v="5"/>
    <n v="2"/>
    <n v="382.43"/>
    <n v="764.86"/>
    <n v="8"/>
    <n v="6118.88"/>
    <s v="Con ventas"/>
  </r>
  <r>
    <x v="2"/>
    <s v="Alimentos"/>
    <s v="Cereal"/>
    <x v="3"/>
    <x v="4"/>
    <n v="1"/>
    <n v="97.08"/>
    <n v="97.08"/>
    <n v="7.62"/>
    <n v="739.75"/>
    <s v="Con ventas"/>
  </r>
  <r>
    <x v="4"/>
    <s v="Hogar"/>
    <s v="Mesa"/>
    <x v="2"/>
    <x v="5"/>
    <n v="7"/>
    <n v="446.37"/>
    <n v="3124.59"/>
    <n v="7.83"/>
    <n v="24465.54"/>
    <s v="Con ventas"/>
  </r>
  <r>
    <x v="5"/>
    <s v="Electrónica"/>
    <s v="Auriculares"/>
    <x v="2"/>
    <x v="1"/>
    <n v="2"/>
    <n v="285.27"/>
    <n v="570.54"/>
    <n v="8.15"/>
    <n v="4649.8999999999996"/>
    <s v="Con ventas"/>
  </r>
  <r>
    <x v="4"/>
    <s v="Hogar"/>
    <s v="Mesa"/>
    <x v="0"/>
    <x v="0"/>
    <n v="5"/>
    <n v="194.51"/>
    <n v="972.55"/>
    <n v="8.48"/>
    <n v="8247.2199999999993"/>
    <s v="Con ventas"/>
  </r>
  <r>
    <x v="4"/>
    <s v="Hogar"/>
    <s v="Mesa"/>
    <x v="3"/>
    <x v="3"/>
    <n v="7"/>
    <n v="480.89"/>
    <n v="3366.23"/>
    <n v="8.1"/>
    <n v="27266.46"/>
    <s v="Con ventas"/>
  </r>
  <r>
    <x v="1"/>
    <s v="Hogar"/>
    <s v="Silla"/>
    <x v="0"/>
    <x v="0"/>
    <n v="1"/>
    <n v="129.88"/>
    <n v="129.88"/>
    <n v="8.24"/>
    <n v="1070.21"/>
    <s v="Con ventas"/>
  </r>
  <r>
    <x v="4"/>
    <s v="Hogar"/>
    <s v="Mesa"/>
    <x v="1"/>
    <x v="3"/>
    <n v="12"/>
    <n v="474.44"/>
    <n v="5693.28"/>
    <n v="7.66"/>
    <n v="43610.52"/>
    <s v="Con ventas"/>
  </r>
  <r>
    <x v="1"/>
    <s v="Hogar"/>
    <s v="Mesa"/>
    <x v="1"/>
    <x v="1"/>
    <n v="10"/>
    <n v="78.430000000000007"/>
    <n v="784.3"/>
    <n v="7.71"/>
    <n v="6046.95"/>
    <s v="Con ventas"/>
  </r>
  <r>
    <x v="3"/>
    <s v="Alimentos"/>
    <s v="Cereal"/>
    <x v="3"/>
    <x v="5"/>
    <n v="20"/>
    <n v="329.03"/>
    <n v="6580.6"/>
    <n v="8.32"/>
    <n v="54750.59"/>
    <s v="Con ventas"/>
  </r>
  <r>
    <x v="1"/>
    <s v="Ropa"/>
    <s v="Pantalón"/>
    <x v="3"/>
    <x v="5"/>
    <n v="17"/>
    <n v="37.82"/>
    <n v="642.94000000000005"/>
    <n v="7.66"/>
    <n v="4924.92"/>
    <s v="Con ventas"/>
  </r>
  <r>
    <x v="1"/>
    <s v="Ropa"/>
    <s v="Pantalón"/>
    <x v="3"/>
    <x v="6"/>
    <n v="13"/>
    <n v="299.02"/>
    <n v="3887.26"/>
    <n v="7.86"/>
    <n v="30553.86"/>
    <s v="Con ventas"/>
  </r>
  <r>
    <x v="2"/>
    <s v="Ropa"/>
    <s v="Zapatos"/>
    <x v="2"/>
    <x v="11"/>
    <n v="2"/>
    <n v="40.619999999999997"/>
    <n v="81.239999999999995"/>
    <n v="7.78"/>
    <n v="632.04999999999995"/>
    <s v="Con ventas"/>
  </r>
  <r>
    <x v="4"/>
    <s v="Alimentos"/>
    <s v="Cereal"/>
    <x v="1"/>
    <x v="6"/>
    <n v="9"/>
    <n v="446.72"/>
    <n v="4020.48"/>
    <n v="8.39"/>
    <n v="33731.83"/>
    <s v="Con ventas"/>
  </r>
  <r>
    <x v="3"/>
    <s v="Electrónica"/>
    <s v="Laptop"/>
    <x v="0"/>
    <x v="8"/>
    <n v="11"/>
    <n v="494.38"/>
    <n v="5438.18"/>
    <n v="8.39"/>
    <n v="45626.33"/>
    <s v="Con ventas"/>
  </r>
  <r>
    <x v="2"/>
    <s v="Deportes"/>
    <s v="Balón"/>
    <x v="3"/>
    <x v="10"/>
    <n v="16"/>
    <n v="389.41"/>
    <n v="6230.56"/>
    <n v="7.95"/>
    <n v="49532.95"/>
    <s v="Con ventas"/>
  </r>
  <r>
    <x v="3"/>
    <s v="Hogar"/>
    <s v="Colchón"/>
    <x v="2"/>
    <x v="3"/>
    <n v="12"/>
    <n v="349.9"/>
    <n v="4198.8"/>
    <n v="7.88"/>
    <n v="33086.54"/>
    <s v="Con ventas"/>
  </r>
  <r>
    <x v="1"/>
    <s v="Electrónica"/>
    <s v="Smartphone"/>
    <x v="0"/>
    <x v="7"/>
    <n v="19"/>
    <n v="240.87"/>
    <n v="4576.53"/>
    <n v="7.62"/>
    <n v="34873.160000000003"/>
    <s v="Con ventas"/>
  </r>
  <r>
    <x v="2"/>
    <s v="Ropa"/>
    <s v="Pantalón"/>
    <x v="0"/>
    <x v="11"/>
    <n v="19"/>
    <n v="48.35"/>
    <n v="918.65"/>
    <n v="8.3000000000000007"/>
    <n v="7624.8"/>
    <s v="Con ventas"/>
  </r>
  <r>
    <x v="5"/>
    <s v="Electrónica"/>
    <s v="Monitor"/>
    <x v="3"/>
    <x v="10"/>
    <n v="2"/>
    <n v="486.41"/>
    <n v="972.82"/>
    <n v="8.39"/>
    <n v="8161.96"/>
    <s v="Con ventas"/>
  </r>
  <r>
    <x v="0"/>
    <s v="Ropa"/>
    <s v="Pantalón"/>
    <x v="3"/>
    <x v="11"/>
    <n v="10"/>
    <n v="362.92"/>
    <n v="3629.2"/>
    <n v="7.73"/>
    <n v="28053.72"/>
    <s v="Con ventas"/>
  </r>
  <r>
    <x v="5"/>
    <s v="Hogar"/>
    <s v="Mesa"/>
    <x v="2"/>
    <x v="3"/>
    <n v="11"/>
    <n v="11.39"/>
    <n v="125.29"/>
    <n v="8.02"/>
    <n v="1004.83"/>
    <s v="Con ventas"/>
  </r>
  <r>
    <x v="1"/>
    <s v="Electrónica"/>
    <s v="Auriculares"/>
    <x v="3"/>
    <x v="8"/>
    <n v="16"/>
    <n v="433.38"/>
    <n v="6934.08"/>
    <n v="8.4700000000000006"/>
    <n v="58731.66"/>
    <s v="Con ventas"/>
  </r>
  <r>
    <x v="4"/>
    <s v="Ropa"/>
    <s v="Camisa"/>
    <x v="2"/>
    <x v="5"/>
    <n v="17"/>
    <n v="249.73"/>
    <n v="4245.41"/>
    <n v="8.34"/>
    <n v="35406.720000000001"/>
    <s v="Con ventas"/>
  </r>
  <r>
    <x v="2"/>
    <s v="Ropa"/>
    <s v="Zapatos"/>
    <x v="0"/>
    <x v="7"/>
    <n v="14"/>
    <n v="55.28"/>
    <n v="773.92"/>
    <n v="8.33"/>
    <n v="6446.75"/>
    <s v="Con ventas"/>
  </r>
  <r>
    <x v="3"/>
    <s v="Hogar"/>
    <s v="Silla"/>
    <x v="1"/>
    <x v="9"/>
    <n v="7"/>
    <n v="482.04"/>
    <n v="3374.28"/>
    <n v="7.8"/>
    <n v="26319.38"/>
    <s v="Con ventas"/>
  </r>
  <r>
    <x v="4"/>
    <s v="Deportes"/>
    <s v="Balón"/>
    <x v="1"/>
    <x v="2"/>
    <n v="13"/>
    <n v="77.59"/>
    <n v="1008.67"/>
    <n v="7.82"/>
    <n v="7887.8"/>
    <s v="Con ventas"/>
  </r>
  <r>
    <x v="0"/>
    <s v="Alimentos"/>
    <s v="Aceite"/>
    <x v="2"/>
    <x v="8"/>
    <n v="8"/>
    <n v="64.22"/>
    <n v="513.76"/>
    <n v="7.68"/>
    <n v="3945.68"/>
    <s v="Con ventas"/>
  </r>
  <r>
    <x v="1"/>
    <s v="Deportes"/>
    <s v="Bicicleta"/>
    <x v="2"/>
    <x v="5"/>
    <n v="4"/>
    <n v="47.95"/>
    <n v="191.8"/>
    <n v="7.74"/>
    <n v="1484.53"/>
    <s v="Con ventas"/>
  </r>
  <r>
    <x v="1"/>
    <s v="Alimentos"/>
    <s v="Café"/>
    <x v="1"/>
    <x v="1"/>
    <n v="14"/>
    <n v="200.73"/>
    <n v="2810.22"/>
    <n v="7.89"/>
    <n v="22172.639999999999"/>
    <s v="Con ventas"/>
  </r>
  <r>
    <x v="5"/>
    <s v="Deportes"/>
    <s v="Balón"/>
    <x v="3"/>
    <x v="1"/>
    <n v="20"/>
    <n v="443.88"/>
    <n v="8877.6"/>
    <n v="8.07"/>
    <n v="71642.23"/>
    <s v="Con ventas"/>
  </r>
  <r>
    <x v="1"/>
    <s v="Ropa"/>
    <s v="Camisa"/>
    <x v="2"/>
    <x v="8"/>
    <n v="1"/>
    <n v="419.09"/>
    <n v="419.09"/>
    <n v="7.89"/>
    <n v="3306.62"/>
    <s v="Con ventas"/>
  </r>
  <r>
    <x v="4"/>
    <s v="Ropa"/>
    <s v="Pantalón"/>
    <x v="1"/>
    <x v="9"/>
    <n v="19"/>
    <n v="128.34"/>
    <n v="2438.46"/>
    <n v="7.67"/>
    <n v="18702.990000000002"/>
    <s v="Con ventas"/>
  </r>
  <r>
    <x v="5"/>
    <s v="Electrónica"/>
    <s v="Auriculares"/>
    <x v="0"/>
    <x v="5"/>
    <n v="10"/>
    <n v="420.52"/>
    <n v="4205.2"/>
    <n v="7.76"/>
    <n v="32632.35"/>
    <s v="Con ventas"/>
  </r>
  <r>
    <x v="1"/>
    <s v="Alimentos"/>
    <s v="Azúcar"/>
    <x v="3"/>
    <x v="8"/>
    <n v="5"/>
    <n v="223.88"/>
    <n v="1119.4000000000001"/>
    <n v="7.97"/>
    <n v="8921.6200000000008"/>
    <s v="Con ventas"/>
  </r>
  <r>
    <x v="1"/>
    <s v="Deportes"/>
    <s v="Guantes"/>
    <x v="0"/>
    <x v="8"/>
    <n v="6"/>
    <n v="156.13"/>
    <n v="936.78"/>
    <n v="8.3800000000000008"/>
    <n v="7850.22"/>
    <s v="Con ventas"/>
  </r>
  <r>
    <x v="3"/>
    <s v="Alimentos"/>
    <s v="Aceite"/>
    <x v="1"/>
    <x v="9"/>
    <n v="6"/>
    <n v="364.34"/>
    <n v="2186.04"/>
    <n v="7.91"/>
    <n v="17291.580000000002"/>
    <s v="Con ventas"/>
  </r>
  <r>
    <x v="0"/>
    <s v="Electrónica"/>
    <s v="Laptop"/>
    <x v="2"/>
    <x v="9"/>
    <n v="9"/>
    <n v="396.77"/>
    <n v="3570.93"/>
    <n v="8.32"/>
    <n v="29710.14"/>
    <s v="Con ventas"/>
  </r>
  <r>
    <x v="1"/>
    <s v="Electrónica"/>
    <s v="Monitor"/>
    <x v="2"/>
    <x v="3"/>
    <n v="4"/>
    <n v="412.49"/>
    <n v="1649.96"/>
    <n v="7.72"/>
    <n v="12737.69"/>
    <s v="Con ventas"/>
  </r>
  <r>
    <x v="4"/>
    <s v="Alimentos"/>
    <s v="Azúcar"/>
    <x v="3"/>
    <x v="2"/>
    <n v="12"/>
    <n v="366.42"/>
    <n v="4397.04"/>
    <n v="8.07"/>
    <n v="35484.11"/>
    <s v="Con ventas"/>
  </r>
  <r>
    <x v="5"/>
    <s v="Alimentos"/>
    <s v="Azúcar"/>
    <x v="0"/>
    <x v="5"/>
    <n v="13"/>
    <n v="216.18"/>
    <n v="2810.34"/>
    <n v="8.24"/>
    <n v="23157.200000000001"/>
    <s v="Con ventas"/>
  </r>
  <r>
    <x v="5"/>
    <s v="Ropa"/>
    <s v="Zapatos"/>
    <x v="3"/>
    <x v="6"/>
    <n v="11"/>
    <n v="246.62"/>
    <n v="2712.82"/>
    <n v="8.4"/>
    <n v="22787.69"/>
    <s v="Con ventas"/>
  </r>
  <r>
    <x v="0"/>
    <s v="Deportes"/>
    <s v="Bicicleta"/>
    <x v="0"/>
    <x v="6"/>
    <n v="14"/>
    <n v="275.91000000000003"/>
    <n v="3862.74"/>
    <n v="7.8"/>
    <n v="30129.37"/>
    <s v="Con ventas"/>
  </r>
  <r>
    <x v="1"/>
    <s v="Electrónica"/>
    <s v="Auriculares"/>
    <x v="1"/>
    <x v="9"/>
    <n v="4"/>
    <n v="489.56"/>
    <n v="1958.24"/>
    <n v="8.33"/>
    <n v="16312.14"/>
    <s v="Con ventas"/>
  </r>
  <r>
    <x v="1"/>
    <s v="Ropa"/>
    <s v="Zapatos"/>
    <x v="2"/>
    <x v="5"/>
    <n v="18"/>
    <n v="230.89"/>
    <n v="4156.0200000000004"/>
    <n v="7.86"/>
    <n v="32666.32"/>
    <s v="Con ventas"/>
  </r>
  <r>
    <x v="0"/>
    <s v="Alimentos"/>
    <s v="Azúcar"/>
    <x v="2"/>
    <x v="1"/>
    <n v="18"/>
    <n v="422.42"/>
    <n v="7603.56"/>
    <n v="7.92"/>
    <n v="60220.2"/>
    <s v="Con ventas"/>
  </r>
  <r>
    <x v="3"/>
    <s v="Deportes"/>
    <s v="Bicicleta"/>
    <x v="1"/>
    <x v="0"/>
    <n v="7"/>
    <n v="308.02999999999997"/>
    <n v="2156.21"/>
    <n v="8.42"/>
    <n v="18155.29"/>
    <s v="Con ventas"/>
  </r>
  <r>
    <x v="2"/>
    <s v="Electrónica"/>
    <s v="Smartphone"/>
    <x v="2"/>
    <x v="10"/>
    <n v="17"/>
    <n v="142.21"/>
    <n v="2417.5700000000002"/>
    <n v="8.4499999999999993"/>
    <n v="20428.47"/>
    <s v="Con ventas"/>
  </r>
  <r>
    <x v="2"/>
    <s v="Alimentos"/>
    <s v="Azúcar"/>
    <x v="2"/>
    <x v="9"/>
    <n v="4"/>
    <n v="124.67"/>
    <n v="498.68"/>
    <n v="8.39"/>
    <n v="4183.93"/>
    <s v="Con ventas"/>
  </r>
  <r>
    <x v="4"/>
    <s v="Deportes"/>
    <s v="Guantes"/>
    <x v="1"/>
    <x v="11"/>
    <n v="7"/>
    <n v="450.42"/>
    <n v="3152.94"/>
    <n v="8.2899999999999991"/>
    <n v="26137.87"/>
    <s v="Con ventas"/>
  </r>
  <r>
    <x v="4"/>
    <s v="Ropa"/>
    <s v="Pantalón"/>
    <x v="0"/>
    <x v="11"/>
    <n v="4"/>
    <n v="92.51"/>
    <n v="370.04"/>
    <n v="7.51"/>
    <n v="2779"/>
    <s v="Con ventas"/>
  </r>
  <r>
    <x v="2"/>
    <s v="Hogar"/>
    <s v="Colchón"/>
    <x v="0"/>
    <x v="6"/>
    <n v="3"/>
    <n v="53.48"/>
    <n v="160.44"/>
    <n v="8.35"/>
    <n v="1339.67"/>
    <s v="Con ventas"/>
  </r>
  <r>
    <x v="1"/>
    <s v="Alimentos"/>
    <s v="Aceite"/>
    <x v="1"/>
    <x v="2"/>
    <n v="13"/>
    <n v="300.33999999999997"/>
    <n v="3904.42"/>
    <n v="7.66"/>
    <n v="29907.86"/>
    <s v="Con ventas"/>
  </r>
  <r>
    <x v="0"/>
    <s v="Electrónica"/>
    <s v="Smartphone"/>
    <x v="1"/>
    <x v="4"/>
    <n v="3"/>
    <n v="89.29"/>
    <n v="267.87"/>
    <n v="8.25"/>
    <n v="2209.9299999999998"/>
    <s v="Con ventas"/>
  </r>
  <r>
    <x v="0"/>
    <s v="Alimentos"/>
    <s v="Azúcar"/>
    <x v="0"/>
    <x v="5"/>
    <n v="18"/>
    <n v="293.33999999999997"/>
    <n v="5280.12"/>
    <n v="7.89"/>
    <n v="41660.15"/>
    <s v="Con ventas"/>
  </r>
  <r>
    <x v="1"/>
    <s v="Ropa"/>
    <s v="Pantalón"/>
    <x v="2"/>
    <x v="3"/>
    <n v="11"/>
    <n v="185.57"/>
    <n v="2041.27"/>
    <n v="8.49"/>
    <n v="17330.38"/>
    <s v="Con ventas"/>
  </r>
  <r>
    <x v="3"/>
    <s v="Ropa"/>
    <s v="Camisa"/>
    <x v="3"/>
    <x v="3"/>
    <n v="20"/>
    <n v="177.17"/>
    <n v="3543.4"/>
    <n v="7.86"/>
    <n v="27851.119999999999"/>
    <s v="Con ventas"/>
  </r>
  <r>
    <x v="4"/>
    <s v="Hogar"/>
    <s v="Colchón"/>
    <x v="3"/>
    <x v="7"/>
    <n v="9"/>
    <n v="199.78"/>
    <n v="1798.02"/>
    <n v="7.91"/>
    <n v="14222.34"/>
    <s v="Con ventas"/>
  </r>
  <r>
    <x v="1"/>
    <s v="Hogar"/>
    <s v="Mesa"/>
    <x v="2"/>
    <x v="4"/>
    <n v="14"/>
    <n v="356.82"/>
    <n v="4995.4799999999996"/>
    <n v="7.66"/>
    <n v="38265.379999999997"/>
    <s v="Con ventas"/>
  </r>
  <r>
    <x v="0"/>
    <s v="Electrónica"/>
    <s v="Auriculares"/>
    <x v="2"/>
    <x v="2"/>
    <n v="14"/>
    <n v="460.2"/>
    <n v="6442.8"/>
    <n v="7.5"/>
    <n v="48321"/>
    <s v="Con ventas"/>
  </r>
  <r>
    <x v="2"/>
    <s v="Alimentos"/>
    <s v="Cereal"/>
    <x v="2"/>
    <x v="8"/>
    <n v="3"/>
    <n v="110.48"/>
    <n v="331.44"/>
    <n v="8.2899999999999991"/>
    <n v="2747.64"/>
    <s v="Con ventas"/>
  </r>
  <r>
    <x v="4"/>
    <s v="Hogar"/>
    <s v="Colchón"/>
    <x v="2"/>
    <x v="7"/>
    <n v="5"/>
    <n v="195.89"/>
    <n v="979.45"/>
    <n v="7.92"/>
    <n v="7757.24"/>
    <s v="Con ventas"/>
  </r>
  <r>
    <x v="0"/>
    <s v="Ropa"/>
    <s v="Camisa"/>
    <x v="0"/>
    <x v="8"/>
    <n v="9"/>
    <n v="442.95"/>
    <n v="3986.55"/>
    <n v="7.89"/>
    <n v="31453.88"/>
    <s v="Con ventas"/>
  </r>
  <r>
    <x v="0"/>
    <s v="Hogar"/>
    <s v="Colchón"/>
    <x v="0"/>
    <x v="10"/>
    <n v="10"/>
    <n v="98.3"/>
    <n v="983"/>
    <n v="7.69"/>
    <n v="7559.27"/>
    <s v="Con ventas"/>
  </r>
  <r>
    <x v="5"/>
    <s v="Electrónica"/>
    <s v="Smartphone"/>
    <x v="2"/>
    <x v="8"/>
    <n v="2"/>
    <n v="82.36"/>
    <n v="164.72"/>
    <n v="8.16"/>
    <n v="1344.12"/>
    <s v="Con ventas"/>
  </r>
  <r>
    <x v="5"/>
    <s v="Hogar"/>
    <s v="Lámpara"/>
    <x v="1"/>
    <x v="10"/>
    <n v="5"/>
    <n v="213.47"/>
    <n v="1067.3499999999999"/>
    <n v="7.85"/>
    <n v="8378.7000000000007"/>
    <s v="Con ventas"/>
  </r>
  <r>
    <x v="5"/>
    <s v="Hogar"/>
    <s v="Lámpara"/>
    <x v="1"/>
    <x v="4"/>
    <n v="20"/>
    <n v="314.06"/>
    <n v="6281.2"/>
    <n v="7.9"/>
    <n v="49621.48"/>
    <s v="Con ventas"/>
  </r>
  <r>
    <x v="0"/>
    <s v="Electrónica"/>
    <s v="Laptop"/>
    <x v="0"/>
    <x v="1"/>
    <n v="12"/>
    <n v="97.86"/>
    <n v="1174.32"/>
    <n v="8.18"/>
    <n v="9605.94"/>
    <s v="Con ventas"/>
  </r>
  <r>
    <x v="1"/>
    <s v="Alimentos"/>
    <s v="Cereal"/>
    <x v="2"/>
    <x v="3"/>
    <n v="12"/>
    <n v="195.46"/>
    <n v="2345.52"/>
    <n v="8.4600000000000009"/>
    <n v="19843.099999999999"/>
    <s v="Con ventas"/>
  </r>
  <r>
    <x v="4"/>
    <s v="Hogar"/>
    <s v="Colchón"/>
    <x v="2"/>
    <x v="5"/>
    <n v="6"/>
    <n v="326.66000000000003"/>
    <n v="1959.96"/>
    <n v="8.2200000000000006"/>
    <n v="16110.87"/>
    <s v="Con ventas"/>
  </r>
  <r>
    <x v="1"/>
    <s v="Hogar"/>
    <s v="Silla"/>
    <x v="0"/>
    <x v="1"/>
    <n v="12"/>
    <n v="103.75"/>
    <n v="1245"/>
    <n v="7.71"/>
    <n v="9598.9500000000007"/>
    <s v="Con ventas"/>
  </r>
  <r>
    <x v="5"/>
    <s v="Electrónica"/>
    <s v="Smartphone"/>
    <x v="0"/>
    <x v="5"/>
    <n v="19"/>
    <n v="28.01"/>
    <n v="532.19000000000005"/>
    <n v="7.93"/>
    <n v="4220.2700000000004"/>
    <s v="Con ventas"/>
  </r>
  <r>
    <x v="2"/>
    <s v="Hogar"/>
    <s v="Mesa"/>
    <x v="0"/>
    <x v="0"/>
    <n v="7"/>
    <n v="86.21"/>
    <n v="603.47"/>
    <n v="8.39"/>
    <n v="5063.1099999999997"/>
    <s v="Con ventas"/>
  </r>
  <r>
    <x v="2"/>
    <s v="Ropa"/>
    <s v="Chaqueta"/>
    <x v="3"/>
    <x v="8"/>
    <n v="3"/>
    <n v="434.96"/>
    <n v="1304.8800000000001"/>
    <n v="8.27"/>
    <n v="10791.36"/>
    <s v="Con ventas"/>
  </r>
  <r>
    <x v="5"/>
    <s v="Electrónica"/>
    <s v="Laptop"/>
    <x v="0"/>
    <x v="0"/>
    <n v="12"/>
    <n v="395.39"/>
    <n v="4744.68"/>
    <n v="8.44"/>
    <n v="40045.1"/>
    <s v="Con ventas"/>
  </r>
  <r>
    <x v="2"/>
    <s v="Alimentos"/>
    <s v="Café"/>
    <x v="3"/>
    <x v="8"/>
    <n v="11"/>
    <n v="108.71"/>
    <n v="1195.81"/>
    <n v="8.41"/>
    <n v="10056.76"/>
    <s v="Con ventas"/>
  </r>
  <r>
    <x v="3"/>
    <s v="Hogar"/>
    <s v="Mesa"/>
    <x v="2"/>
    <x v="5"/>
    <n v="7"/>
    <n v="258.58999999999997"/>
    <n v="1810.13"/>
    <n v="8"/>
    <n v="14481.04"/>
    <s v="Con ventas"/>
  </r>
  <r>
    <x v="4"/>
    <s v="Hogar"/>
    <s v="Lámpara"/>
    <x v="0"/>
    <x v="1"/>
    <n v="12"/>
    <n v="70.34"/>
    <n v="844.08"/>
    <n v="7.52"/>
    <n v="6347.48"/>
    <s v="Con ventas"/>
  </r>
  <r>
    <x v="0"/>
    <s v="Hogar"/>
    <s v="Colchón"/>
    <x v="1"/>
    <x v="8"/>
    <n v="15"/>
    <n v="27.55"/>
    <n v="413.25"/>
    <n v="7.95"/>
    <n v="3285.34"/>
    <s v="Con ventas"/>
  </r>
  <r>
    <x v="1"/>
    <s v="Alimentos"/>
    <s v="Aceite"/>
    <x v="2"/>
    <x v="9"/>
    <n v="13"/>
    <n v="369.42"/>
    <n v="4802.46"/>
    <n v="8.27"/>
    <n v="39716.339999999997"/>
    <s v="Con ventas"/>
  </r>
  <r>
    <x v="2"/>
    <s v="Alimentos"/>
    <s v="Aceite"/>
    <x v="1"/>
    <x v="5"/>
    <n v="6"/>
    <n v="362.72"/>
    <n v="2176.3200000000002"/>
    <n v="7.7"/>
    <n v="16757.66"/>
    <s v="Con ventas"/>
  </r>
  <r>
    <x v="0"/>
    <s v="Deportes"/>
    <s v="Balón"/>
    <x v="1"/>
    <x v="6"/>
    <n v="19"/>
    <n v="63.76"/>
    <n v="1211.44"/>
    <n v="7.59"/>
    <n v="9194.83"/>
    <s v="Con ventas"/>
  </r>
  <r>
    <x v="3"/>
    <s v="Electrónica"/>
    <s v="Monitor"/>
    <x v="3"/>
    <x v="0"/>
    <n v="7"/>
    <n v="317.31"/>
    <n v="2221.17"/>
    <n v="7.7"/>
    <n v="17103.009999999998"/>
    <s v="Con ventas"/>
  </r>
  <r>
    <x v="0"/>
    <s v="Ropa"/>
    <s v="Chaqueta"/>
    <x v="3"/>
    <x v="2"/>
    <n v="8"/>
    <n v="201.99"/>
    <n v="1615.92"/>
    <n v="8.31"/>
    <n v="13428.3"/>
    <s v="Con ventas"/>
  </r>
  <r>
    <x v="2"/>
    <s v="Ropa"/>
    <s v="Pantalón"/>
    <x v="0"/>
    <x v="11"/>
    <n v="8"/>
    <n v="476.39"/>
    <n v="3811.12"/>
    <n v="7.73"/>
    <n v="29459.96"/>
    <s v="Con ventas"/>
  </r>
  <r>
    <x v="5"/>
    <s v="Hogar"/>
    <s v="Lámpara"/>
    <x v="2"/>
    <x v="0"/>
    <n v="13"/>
    <n v="219.31"/>
    <n v="2851.03"/>
    <n v="8"/>
    <n v="22808.240000000002"/>
    <s v="Con ventas"/>
  </r>
  <r>
    <x v="0"/>
    <s v="Deportes"/>
    <s v="Guantes"/>
    <x v="1"/>
    <x v="0"/>
    <n v="3"/>
    <n v="185.54"/>
    <n v="556.62"/>
    <n v="7.52"/>
    <n v="4185.78"/>
    <s v="Con ventas"/>
  </r>
  <r>
    <x v="2"/>
    <s v="Electrónica"/>
    <s v="Laptop"/>
    <x v="0"/>
    <x v="11"/>
    <n v="3"/>
    <n v="105.74"/>
    <n v="317.22000000000003"/>
    <n v="7.78"/>
    <n v="2467.9699999999998"/>
    <s v="Con ventas"/>
  </r>
  <r>
    <x v="3"/>
    <s v="Ropa"/>
    <s v="Camisa"/>
    <x v="2"/>
    <x v="6"/>
    <n v="13"/>
    <n v="111.35"/>
    <n v="1447.55"/>
    <n v="8.2100000000000009"/>
    <n v="11884.39"/>
    <s v="Con ventas"/>
  </r>
  <r>
    <x v="4"/>
    <s v="Alimentos"/>
    <s v="Azúcar"/>
    <x v="1"/>
    <x v="6"/>
    <n v="19"/>
    <n v="229.67"/>
    <n v="4363.7299999999996"/>
    <n v="7.6"/>
    <n v="33164.35"/>
    <s v="Con ventas"/>
  </r>
  <r>
    <x v="5"/>
    <s v="Alimentos"/>
    <s v="Azúcar"/>
    <x v="0"/>
    <x v="4"/>
    <n v="1"/>
    <n v="405.05"/>
    <n v="405.05"/>
    <n v="7.86"/>
    <n v="3183.69"/>
    <s v="Con ventas"/>
  </r>
  <r>
    <x v="2"/>
    <s v="Alimentos"/>
    <s v="Cereal"/>
    <x v="2"/>
    <x v="1"/>
    <n v="13"/>
    <n v="291.36"/>
    <n v="3787.68"/>
    <n v="7.71"/>
    <n v="29203.01"/>
    <s v="Con ventas"/>
  </r>
  <r>
    <x v="0"/>
    <s v="Ropa"/>
    <s v="Camisa"/>
    <x v="2"/>
    <x v="1"/>
    <n v="13"/>
    <n v="445.26"/>
    <n v="5788.38"/>
    <n v="7.9"/>
    <n v="45728.2"/>
    <s v="Con ventas"/>
  </r>
  <r>
    <x v="0"/>
    <s v="Hogar"/>
    <s v="Colchón"/>
    <x v="0"/>
    <x v="3"/>
    <n v="7"/>
    <n v="48.91"/>
    <n v="342.37"/>
    <n v="7.64"/>
    <n v="2615.71"/>
    <s v="Con ventas"/>
  </r>
  <r>
    <x v="4"/>
    <s v="Deportes"/>
    <s v="Cuerda"/>
    <x v="2"/>
    <x v="0"/>
    <n v="5"/>
    <n v="224.29"/>
    <n v="1121.45"/>
    <n v="7.56"/>
    <n v="8478.16"/>
    <s v="Con ventas"/>
  </r>
  <r>
    <x v="2"/>
    <s v="Electrónica"/>
    <s v="Smartphone"/>
    <x v="1"/>
    <x v="2"/>
    <n v="18"/>
    <n v="199.55"/>
    <n v="3591.9"/>
    <n v="8.08"/>
    <n v="29022.55"/>
    <s v="Con ventas"/>
  </r>
  <r>
    <x v="5"/>
    <s v="Deportes"/>
    <s v="Cuerda"/>
    <x v="0"/>
    <x v="9"/>
    <n v="8"/>
    <n v="236.93"/>
    <n v="1895.44"/>
    <n v="7.99"/>
    <n v="15144.57"/>
    <s v="Con ventas"/>
  </r>
  <r>
    <x v="2"/>
    <s v="Alimentos"/>
    <s v="Aceite"/>
    <x v="2"/>
    <x v="3"/>
    <n v="13"/>
    <n v="63.46"/>
    <n v="824.98"/>
    <n v="7.81"/>
    <n v="6443.09"/>
    <s v="Con ventas"/>
  </r>
  <r>
    <x v="2"/>
    <s v="Alimentos"/>
    <s v="Café"/>
    <x v="2"/>
    <x v="3"/>
    <n v="10"/>
    <n v="200.98"/>
    <n v="2009.8"/>
    <n v="7.55"/>
    <n v="15173.99"/>
    <s v="Con ventas"/>
  </r>
  <r>
    <x v="4"/>
    <s v="Deportes"/>
    <s v="Balón"/>
    <x v="2"/>
    <x v="10"/>
    <n v="2"/>
    <n v="206.77"/>
    <n v="413.54"/>
    <n v="7.88"/>
    <n v="3258.7"/>
    <s v="Con ventas"/>
  </r>
  <r>
    <x v="0"/>
    <s v="Electrónica"/>
    <s v="Laptop"/>
    <x v="1"/>
    <x v="9"/>
    <n v="4"/>
    <n v="477.44"/>
    <n v="1909.76"/>
    <n v="8.01"/>
    <n v="15297.18"/>
    <s v="Con ventas"/>
  </r>
  <r>
    <x v="3"/>
    <s v="Alimentos"/>
    <s v="Aceite"/>
    <x v="0"/>
    <x v="11"/>
    <n v="8"/>
    <n v="360.03"/>
    <n v="2880.24"/>
    <n v="7.93"/>
    <n v="22840.3"/>
    <s v="Con ventas"/>
  </r>
  <r>
    <x v="3"/>
    <s v="Ropa"/>
    <s v="Chaqueta"/>
    <x v="1"/>
    <x v="3"/>
    <n v="5"/>
    <n v="393.04"/>
    <n v="1965.2"/>
    <n v="8.0399999999999991"/>
    <n v="15800.21"/>
    <s v="Con ventas"/>
  </r>
  <r>
    <x v="1"/>
    <s v="Hogar"/>
    <s v="Silla"/>
    <x v="0"/>
    <x v="8"/>
    <n v="19"/>
    <n v="397.37"/>
    <n v="7550.03"/>
    <n v="7.81"/>
    <n v="58965.73"/>
    <s v="Con ventas"/>
  </r>
  <r>
    <x v="3"/>
    <s v="Electrónica"/>
    <s v="Monitor"/>
    <x v="3"/>
    <x v="6"/>
    <n v="3"/>
    <n v="184.48"/>
    <n v="553.44000000000005"/>
    <n v="7.93"/>
    <n v="4388.78"/>
    <s v="Con ventas"/>
  </r>
  <r>
    <x v="0"/>
    <s v="Electrónica"/>
    <s v="Auriculares"/>
    <x v="0"/>
    <x v="6"/>
    <n v="14"/>
    <n v="204.59"/>
    <n v="2864.26"/>
    <n v="8.07"/>
    <n v="23114.58"/>
    <s v="Con ventas"/>
  </r>
  <r>
    <x v="5"/>
    <s v="Electrónica"/>
    <s v="Smartphone"/>
    <x v="2"/>
    <x v="3"/>
    <n v="4"/>
    <n v="171.22"/>
    <n v="684.88"/>
    <n v="8.15"/>
    <n v="5581.77"/>
    <s v="Con ventas"/>
  </r>
  <r>
    <x v="5"/>
    <s v="Deportes"/>
    <s v="Bicicleta"/>
    <x v="3"/>
    <x v="2"/>
    <n v="18"/>
    <n v="122.84"/>
    <n v="2211.12"/>
    <n v="8.25"/>
    <n v="18241.740000000002"/>
    <s v="Con ventas"/>
  </r>
  <r>
    <x v="5"/>
    <s v="Deportes"/>
    <s v="Bicicleta"/>
    <x v="0"/>
    <x v="7"/>
    <n v="10"/>
    <n v="58.68"/>
    <n v="586.79999999999995"/>
    <n v="7.54"/>
    <n v="4424.47"/>
    <s v="Con ventas"/>
  </r>
  <r>
    <x v="1"/>
    <s v="Alimentos"/>
    <s v="Cereal"/>
    <x v="1"/>
    <x v="11"/>
    <n v="11"/>
    <n v="97.82"/>
    <n v="1076.02"/>
    <n v="8.24"/>
    <n v="8866.4"/>
    <s v="Con ventas"/>
  </r>
  <r>
    <x v="2"/>
    <s v="Deportes"/>
    <s v="Guantes"/>
    <x v="1"/>
    <x v="5"/>
    <n v="11"/>
    <n v="437.07"/>
    <n v="4807.7700000000004"/>
    <n v="8.36"/>
    <n v="40192.959999999999"/>
    <s v="Con ventas"/>
  </r>
  <r>
    <x v="5"/>
    <s v="Ropa"/>
    <s v="Pantalón"/>
    <x v="2"/>
    <x v="8"/>
    <n v="18"/>
    <n v="136.15"/>
    <n v="2450.6999999999998"/>
    <n v="8.24"/>
    <n v="20193.77"/>
    <s v="Con ventas"/>
  </r>
  <r>
    <x v="3"/>
    <s v="Deportes"/>
    <s v="Cuerda"/>
    <x v="1"/>
    <x v="8"/>
    <n v="12"/>
    <n v="96.87"/>
    <n v="1162.44"/>
    <n v="8.4600000000000009"/>
    <n v="9834.24"/>
    <s v="Con ventas"/>
  </r>
  <r>
    <x v="1"/>
    <s v="Ropa"/>
    <s v="Pantalón"/>
    <x v="0"/>
    <x v="0"/>
    <n v="9"/>
    <n v="467.41"/>
    <n v="4206.6899999999996"/>
    <n v="8.4700000000000006"/>
    <n v="35630.660000000003"/>
    <s v="Con ventas"/>
  </r>
  <r>
    <x v="5"/>
    <s v="Alimentos"/>
    <s v="Cereal"/>
    <x v="0"/>
    <x v="1"/>
    <n v="9"/>
    <n v="259.8"/>
    <n v="2338.1999999999998"/>
    <n v="8.0399999999999991"/>
    <n v="18799.13"/>
    <s v="Con ventas"/>
  </r>
  <r>
    <x v="3"/>
    <s v="Ropa"/>
    <s v="Chaqueta"/>
    <x v="0"/>
    <x v="8"/>
    <n v="1"/>
    <n v="229.43"/>
    <n v="229.43"/>
    <n v="8.42"/>
    <n v="1931.8"/>
    <s v="Con ventas"/>
  </r>
  <r>
    <x v="3"/>
    <s v="Hogar"/>
    <s v="Colchón"/>
    <x v="3"/>
    <x v="7"/>
    <n v="19"/>
    <n v="149.27000000000001"/>
    <n v="2836.13"/>
    <n v="7.88"/>
    <n v="22348.7"/>
    <s v="Con ventas"/>
  </r>
  <r>
    <x v="4"/>
    <s v="Hogar"/>
    <s v="Silla"/>
    <x v="1"/>
    <x v="0"/>
    <n v="2"/>
    <n v="374.19"/>
    <n v="748.38"/>
    <n v="7.93"/>
    <n v="5934.65"/>
    <s v="Con ventas"/>
  </r>
  <r>
    <x v="5"/>
    <s v="Ropa"/>
    <s v="Zapatos"/>
    <x v="0"/>
    <x v="8"/>
    <n v="16"/>
    <n v="51.92"/>
    <n v="830.72"/>
    <n v="7.55"/>
    <n v="6271.94"/>
    <s v="Con ventas"/>
  </r>
  <r>
    <x v="3"/>
    <s v="Alimentos"/>
    <s v="Aceite"/>
    <x v="3"/>
    <x v="10"/>
    <n v="15"/>
    <n v="329.2"/>
    <n v="4938"/>
    <n v="7.59"/>
    <n v="37479.42"/>
    <s v="Con ventas"/>
  </r>
  <r>
    <x v="3"/>
    <s v="Ropa"/>
    <s v="Pantalón"/>
    <x v="3"/>
    <x v="2"/>
    <n v="15"/>
    <n v="303.01"/>
    <n v="4545.1499999999996"/>
    <n v="7.83"/>
    <n v="35588.519999999997"/>
    <s v="Con ventas"/>
  </r>
  <r>
    <x v="4"/>
    <s v="Deportes"/>
    <s v="Bicicleta"/>
    <x v="3"/>
    <x v="5"/>
    <n v="15"/>
    <n v="120.9"/>
    <n v="1813.5"/>
    <n v="7.84"/>
    <n v="14217.84"/>
    <s v="Con ventas"/>
  </r>
  <r>
    <x v="5"/>
    <s v="Hogar"/>
    <s v="Colchón"/>
    <x v="1"/>
    <x v="1"/>
    <n v="12"/>
    <n v="105.23"/>
    <n v="1262.76"/>
    <n v="7.52"/>
    <n v="9495.9599999999991"/>
    <s v="Con ventas"/>
  </r>
  <r>
    <x v="3"/>
    <s v="Electrónica"/>
    <s v="Monitor"/>
    <x v="2"/>
    <x v="2"/>
    <n v="5"/>
    <n v="65.87"/>
    <n v="329.35"/>
    <n v="7.86"/>
    <n v="2588.69"/>
    <s v="Con ventas"/>
  </r>
  <r>
    <x v="1"/>
    <s v="Ropa"/>
    <s v="Zapatos"/>
    <x v="1"/>
    <x v="7"/>
    <n v="11"/>
    <n v="323.69"/>
    <n v="3560.59"/>
    <n v="7.63"/>
    <n v="27167.3"/>
    <s v="Con ventas"/>
  </r>
  <r>
    <x v="2"/>
    <s v="Deportes"/>
    <s v="Guantes"/>
    <x v="1"/>
    <x v="6"/>
    <n v="20"/>
    <n v="115.67"/>
    <n v="2313.4"/>
    <n v="7.98"/>
    <n v="18460.93"/>
    <s v="Con ventas"/>
  </r>
  <r>
    <x v="0"/>
    <s v="Hogar"/>
    <s v="Silla"/>
    <x v="3"/>
    <x v="6"/>
    <n v="15"/>
    <n v="168.69"/>
    <n v="2530.35"/>
    <n v="7.64"/>
    <n v="19331.87"/>
    <s v="Con ventas"/>
  </r>
  <r>
    <x v="1"/>
    <s v="Ropa"/>
    <s v="Chaqueta"/>
    <x v="1"/>
    <x v="11"/>
    <n v="13"/>
    <n v="360.51"/>
    <n v="4686.63"/>
    <n v="8.19"/>
    <n v="38383.5"/>
    <s v="Con ventas"/>
  </r>
  <r>
    <x v="3"/>
    <s v="Electrónica"/>
    <s v="Laptop"/>
    <x v="3"/>
    <x v="9"/>
    <n v="19"/>
    <n v="175.02"/>
    <n v="3325.38"/>
    <n v="7.64"/>
    <n v="25405.9"/>
    <s v="Con ventas"/>
  </r>
  <r>
    <x v="0"/>
    <s v="Hogar"/>
    <s v="Mesa"/>
    <x v="3"/>
    <x v="1"/>
    <n v="11"/>
    <n v="341.52"/>
    <n v="3756.72"/>
    <n v="8.39"/>
    <n v="31518.880000000001"/>
    <s v="Con ventas"/>
  </r>
  <r>
    <x v="3"/>
    <s v="Alimentos"/>
    <s v="Azúcar"/>
    <x v="1"/>
    <x v="9"/>
    <n v="11"/>
    <n v="143.28"/>
    <n v="1576.08"/>
    <n v="7.58"/>
    <n v="11946.69"/>
    <s v="Con ventas"/>
  </r>
  <r>
    <x v="5"/>
    <s v="Electrónica"/>
    <s v="Auriculares"/>
    <x v="2"/>
    <x v="11"/>
    <n v="9"/>
    <n v="14.5"/>
    <n v="130.5"/>
    <n v="8.48"/>
    <n v="1106.6400000000001"/>
    <s v="Con ventas"/>
  </r>
  <r>
    <x v="5"/>
    <s v="Alimentos"/>
    <s v="Azúcar"/>
    <x v="0"/>
    <x v="1"/>
    <n v="10"/>
    <n v="317.98"/>
    <n v="3179.8"/>
    <n v="7.69"/>
    <n v="24452.66"/>
    <s v="Con ventas"/>
  </r>
  <r>
    <x v="3"/>
    <s v="Alimentos"/>
    <s v="Café"/>
    <x v="3"/>
    <x v="0"/>
    <n v="19"/>
    <n v="199.71"/>
    <n v="3794.49"/>
    <n v="8.1"/>
    <n v="30735.37"/>
    <s v="Con ventas"/>
  </r>
  <r>
    <x v="4"/>
    <s v="Ropa"/>
    <s v="Zapatos"/>
    <x v="2"/>
    <x v="2"/>
    <n v="9"/>
    <n v="309.41000000000003"/>
    <n v="2784.69"/>
    <n v="8.26"/>
    <n v="23001.54"/>
    <s v="Con ventas"/>
  </r>
  <r>
    <x v="0"/>
    <s v="Ropa"/>
    <s v="Camisa"/>
    <x v="0"/>
    <x v="9"/>
    <n v="8"/>
    <n v="108.84"/>
    <n v="870.72"/>
    <n v="8.07"/>
    <n v="7026.71"/>
    <s v="Con ventas"/>
  </r>
  <r>
    <x v="0"/>
    <s v="Hogar"/>
    <s v="Silla"/>
    <x v="2"/>
    <x v="4"/>
    <n v="4"/>
    <n v="169.57"/>
    <n v="678.28"/>
    <n v="8.34"/>
    <n v="5656.86"/>
    <s v="Con ventas"/>
  </r>
  <r>
    <x v="1"/>
    <s v="Ropa"/>
    <s v="Camisa"/>
    <x v="3"/>
    <x v="1"/>
    <n v="20"/>
    <n v="365.86"/>
    <n v="7317.2"/>
    <n v="7.93"/>
    <n v="58025.4"/>
    <s v="Con ventas"/>
  </r>
  <r>
    <x v="0"/>
    <s v="Hogar"/>
    <s v="Mesa"/>
    <x v="0"/>
    <x v="8"/>
    <n v="10"/>
    <n v="453.17"/>
    <n v="4531.7"/>
    <n v="7.96"/>
    <n v="36072.33"/>
    <s v="Con ventas"/>
  </r>
  <r>
    <x v="1"/>
    <s v="Deportes"/>
    <s v="Guantes"/>
    <x v="2"/>
    <x v="1"/>
    <n v="8"/>
    <n v="361.11"/>
    <n v="2888.88"/>
    <n v="7.73"/>
    <n v="22331.040000000001"/>
    <s v="Con ventas"/>
  </r>
  <r>
    <x v="1"/>
    <s v="Alimentos"/>
    <s v="Café"/>
    <x v="0"/>
    <x v="7"/>
    <n v="4"/>
    <n v="464.39"/>
    <n v="1857.56"/>
    <n v="8.31"/>
    <n v="15436.32"/>
    <s v="Con ventas"/>
  </r>
  <r>
    <x v="0"/>
    <s v="Hogar"/>
    <s v="Lámpara"/>
    <x v="1"/>
    <x v="5"/>
    <n v="19"/>
    <n v="123.26"/>
    <n v="2341.94"/>
    <n v="8.1199999999999992"/>
    <n v="19016.55"/>
    <s v="Con ventas"/>
  </r>
  <r>
    <x v="4"/>
    <s v="Hogar"/>
    <s v="Mesa"/>
    <x v="3"/>
    <x v="11"/>
    <n v="11"/>
    <n v="238.69"/>
    <n v="2625.59"/>
    <n v="8.2899999999999991"/>
    <n v="21766.14"/>
    <s v="Con ventas"/>
  </r>
  <r>
    <x v="5"/>
    <s v="Ropa"/>
    <s v="Pantalón"/>
    <x v="3"/>
    <x v="3"/>
    <n v="18"/>
    <n v="167.54"/>
    <n v="3015.72"/>
    <n v="8.3800000000000008"/>
    <n v="25271.73"/>
    <s v="Con ventas"/>
  </r>
  <r>
    <x v="5"/>
    <s v="Hogar"/>
    <s v="Colchón"/>
    <x v="1"/>
    <x v="5"/>
    <n v="12"/>
    <n v="496.21"/>
    <n v="5954.52"/>
    <n v="8.17"/>
    <n v="48648.43"/>
    <s v="Con ventas"/>
  </r>
  <r>
    <x v="4"/>
    <s v="Ropa"/>
    <s v="Zapatos"/>
    <x v="2"/>
    <x v="8"/>
    <n v="14"/>
    <n v="160.16999999999999"/>
    <n v="2242.38"/>
    <n v="7.73"/>
    <n v="17333.599999999999"/>
    <s v="Con ventas"/>
  </r>
  <r>
    <x v="4"/>
    <s v="Electrónica"/>
    <s v="Smartphone"/>
    <x v="1"/>
    <x v="3"/>
    <n v="9"/>
    <n v="411.26"/>
    <n v="3701.34"/>
    <n v="8.32"/>
    <n v="30795.15"/>
    <s v="Con ventas"/>
  </r>
  <r>
    <x v="0"/>
    <s v="Deportes"/>
    <s v="Cuerda"/>
    <x v="2"/>
    <x v="4"/>
    <n v="16"/>
    <n v="451"/>
    <n v="7216"/>
    <n v="7.9"/>
    <n v="57006.400000000001"/>
    <s v="Con ventas"/>
  </r>
  <r>
    <x v="3"/>
    <s v="Alimentos"/>
    <s v="Azúcar"/>
    <x v="3"/>
    <x v="11"/>
    <n v="9"/>
    <n v="122.2"/>
    <n v="1099.8"/>
    <n v="8.26"/>
    <n v="9084.35"/>
    <s v="Con ventas"/>
  </r>
  <r>
    <x v="2"/>
    <s v="Electrónica"/>
    <s v="Auriculares"/>
    <x v="2"/>
    <x v="3"/>
    <n v="14"/>
    <n v="472.06"/>
    <n v="6608.84"/>
    <n v="8.48"/>
    <n v="56042.96"/>
    <s v="Con ventas"/>
  </r>
  <r>
    <x v="5"/>
    <s v="Electrónica"/>
    <s v="Auriculares"/>
    <x v="2"/>
    <x v="3"/>
    <n v="4"/>
    <n v="489.78"/>
    <n v="1959.12"/>
    <n v="7.57"/>
    <n v="14830.54"/>
    <s v="Con ventas"/>
  </r>
  <r>
    <x v="2"/>
    <s v="Hogar"/>
    <s v="Colchón"/>
    <x v="0"/>
    <x v="8"/>
    <n v="8"/>
    <n v="95.46"/>
    <n v="763.68"/>
    <n v="7.96"/>
    <n v="6078.89"/>
    <s v="Con ventas"/>
  </r>
  <r>
    <x v="3"/>
    <s v="Electrónica"/>
    <s v="Smartphone"/>
    <x v="2"/>
    <x v="11"/>
    <n v="18"/>
    <n v="283.33999999999997"/>
    <n v="5100.12"/>
    <n v="7.93"/>
    <n v="40443.949999999997"/>
    <s v="Con ventas"/>
  </r>
  <r>
    <x v="2"/>
    <s v="Hogar"/>
    <s v="Colchón"/>
    <x v="3"/>
    <x v="3"/>
    <n v="4"/>
    <n v="49.87"/>
    <n v="199.48"/>
    <n v="8.4700000000000006"/>
    <n v="1689.6"/>
    <s v="Con ventas"/>
  </r>
  <r>
    <x v="1"/>
    <s v="Ropa"/>
    <s v="Pantalón"/>
    <x v="3"/>
    <x v="7"/>
    <n v="15"/>
    <n v="350.95"/>
    <n v="5264.25"/>
    <n v="7.96"/>
    <n v="41903.43"/>
    <s v="Con ventas"/>
  </r>
  <r>
    <x v="4"/>
    <s v="Deportes"/>
    <s v="Guantes"/>
    <x v="1"/>
    <x v="9"/>
    <n v="1"/>
    <n v="85.92"/>
    <n v="85.92"/>
    <n v="7.8"/>
    <n v="670.18"/>
    <s v="Con ventas"/>
  </r>
  <r>
    <x v="4"/>
    <s v="Ropa"/>
    <s v="Chaqueta"/>
    <x v="3"/>
    <x v="10"/>
    <n v="1"/>
    <n v="191.29"/>
    <n v="191.29"/>
    <n v="7.8"/>
    <n v="1492.06"/>
    <s v="Con ventas"/>
  </r>
  <r>
    <x v="0"/>
    <s v="Hogar"/>
    <s v="Lámpara"/>
    <x v="2"/>
    <x v="11"/>
    <n v="16"/>
    <n v="201.45"/>
    <n v="3223.2"/>
    <n v="8.1199999999999992"/>
    <n v="26172.38"/>
    <s v="Con ventas"/>
  </r>
  <r>
    <x v="1"/>
    <s v="Electrónica"/>
    <s v="Laptop"/>
    <x v="3"/>
    <x v="2"/>
    <n v="8"/>
    <n v="88.38"/>
    <n v="707.04"/>
    <n v="8.0299999999999994"/>
    <n v="5677.53"/>
    <s v="Con ventas"/>
  </r>
  <r>
    <x v="5"/>
    <s v="Alimentos"/>
    <s v="Azúcar"/>
    <x v="0"/>
    <x v="11"/>
    <n v="4"/>
    <n v="133.30000000000001"/>
    <n v="533.20000000000005"/>
    <n v="8.34"/>
    <n v="4446.8900000000003"/>
    <s v="Con ventas"/>
  </r>
  <r>
    <x v="0"/>
    <s v="Electrónica"/>
    <s v="Auriculares"/>
    <x v="0"/>
    <x v="6"/>
    <n v="15"/>
    <n v="425.16"/>
    <n v="6377.4"/>
    <n v="7.65"/>
    <n v="48787.11"/>
    <s v="Con ventas"/>
  </r>
  <r>
    <x v="5"/>
    <s v="Hogar"/>
    <s v="Lámpara"/>
    <x v="0"/>
    <x v="4"/>
    <n v="16"/>
    <n v="373.84"/>
    <n v="5981.44"/>
    <n v="7.84"/>
    <n v="46894.49"/>
    <s v="Con ventas"/>
  </r>
  <r>
    <x v="2"/>
    <s v="Hogar"/>
    <s v="Silla"/>
    <x v="1"/>
    <x v="4"/>
    <n v="14"/>
    <n v="84.86"/>
    <n v="1188.04"/>
    <n v="8.4600000000000009"/>
    <n v="10050.82"/>
    <s v="Con ventas"/>
  </r>
  <r>
    <x v="4"/>
    <s v="Alimentos"/>
    <s v="Café"/>
    <x v="2"/>
    <x v="4"/>
    <n v="20"/>
    <n v="229.76"/>
    <n v="4595.2"/>
    <n v="8.4"/>
    <n v="38599.68"/>
    <s v="Con ventas"/>
  </r>
  <r>
    <x v="3"/>
    <s v="Deportes"/>
    <s v="Balón"/>
    <x v="0"/>
    <x v="7"/>
    <n v="9"/>
    <n v="110.9"/>
    <n v="998.1"/>
    <n v="8.25"/>
    <n v="8234.33"/>
    <s v="Con ventas"/>
  </r>
  <r>
    <x v="3"/>
    <s v="Alimentos"/>
    <s v="Azúcar"/>
    <x v="1"/>
    <x v="1"/>
    <n v="16"/>
    <n v="220.37"/>
    <n v="3525.92"/>
    <n v="8.3800000000000008"/>
    <n v="29547.21"/>
    <s v="Con ventas"/>
  </r>
  <r>
    <x v="0"/>
    <s v="Hogar"/>
    <s v="Silla"/>
    <x v="1"/>
    <x v="9"/>
    <n v="16"/>
    <n v="313.22000000000003"/>
    <n v="5011.5200000000004"/>
    <n v="7.61"/>
    <n v="38137.67"/>
    <s v="Con ventas"/>
  </r>
  <r>
    <x v="4"/>
    <s v="Electrónica"/>
    <s v="Auriculares"/>
    <x v="3"/>
    <x v="1"/>
    <n v="20"/>
    <n v="270.86"/>
    <n v="5417.2"/>
    <n v="7.69"/>
    <n v="41658.269999999997"/>
    <s v="Con ventas"/>
  </r>
  <r>
    <x v="0"/>
    <s v="Alimentos"/>
    <s v="Azúcar"/>
    <x v="2"/>
    <x v="2"/>
    <n v="13"/>
    <n v="169.63"/>
    <n v="2205.19"/>
    <n v="8.43"/>
    <n v="18589.75"/>
    <s v="Con ventas"/>
  </r>
  <r>
    <x v="1"/>
    <s v="Ropa"/>
    <s v="Chaqueta"/>
    <x v="3"/>
    <x v="4"/>
    <n v="7"/>
    <n v="129.54"/>
    <n v="906.78"/>
    <n v="7.99"/>
    <n v="7245.17"/>
    <s v="Con ventas"/>
  </r>
  <r>
    <x v="2"/>
    <s v="Alimentos"/>
    <s v="Aceite"/>
    <x v="2"/>
    <x v="5"/>
    <n v="8"/>
    <n v="18.16"/>
    <n v="145.28"/>
    <n v="8.3699999999999992"/>
    <n v="1215.99"/>
    <s v="Con ventas"/>
  </r>
  <r>
    <x v="1"/>
    <s v="Hogar"/>
    <s v="Colchón"/>
    <x v="2"/>
    <x v="9"/>
    <n v="6"/>
    <n v="100.43"/>
    <n v="602.58000000000004"/>
    <n v="7.52"/>
    <n v="4531.3999999999996"/>
    <s v="Con ventas"/>
  </r>
  <r>
    <x v="1"/>
    <s v="Ropa"/>
    <s v="Chaqueta"/>
    <x v="2"/>
    <x v="9"/>
    <n v="5"/>
    <n v="431.85"/>
    <n v="2159.25"/>
    <n v="8.1"/>
    <n v="17489.919999999998"/>
    <s v="Con ventas"/>
  </r>
  <r>
    <x v="2"/>
    <s v="Ropa"/>
    <s v="Zapatos"/>
    <x v="1"/>
    <x v="6"/>
    <n v="14"/>
    <n v="300.89999999999998"/>
    <n v="4212.6000000000004"/>
    <n v="7.99"/>
    <n v="33658.67"/>
    <s v="Con ventas"/>
  </r>
  <r>
    <x v="1"/>
    <s v="Deportes"/>
    <s v="Guantes"/>
    <x v="1"/>
    <x v="3"/>
    <n v="12"/>
    <n v="478.83"/>
    <n v="5745.96"/>
    <n v="8.32"/>
    <n v="47806.39"/>
    <s v="Con ventas"/>
  </r>
  <r>
    <x v="2"/>
    <s v="Ropa"/>
    <s v="Pantalón"/>
    <x v="3"/>
    <x v="4"/>
    <n v="6"/>
    <n v="105.14"/>
    <n v="630.84"/>
    <n v="8.1199999999999992"/>
    <n v="5122.42"/>
    <s v="Con ventas"/>
  </r>
  <r>
    <x v="1"/>
    <s v="Deportes"/>
    <s v="Cuerda"/>
    <x v="2"/>
    <x v="10"/>
    <n v="7"/>
    <n v="24.76"/>
    <n v="173.32"/>
    <n v="8.42"/>
    <n v="1459.35"/>
    <s v="Con ventas"/>
  </r>
  <r>
    <x v="5"/>
    <s v="Electrónica"/>
    <s v="Monitor"/>
    <x v="1"/>
    <x v="0"/>
    <n v="1"/>
    <n v="208.62"/>
    <n v="208.62"/>
    <n v="7.89"/>
    <n v="1646.01"/>
    <s v="Con ventas"/>
  </r>
  <r>
    <x v="1"/>
    <s v="Ropa"/>
    <s v="Pantalón"/>
    <x v="0"/>
    <x v="11"/>
    <n v="5"/>
    <n v="87.45"/>
    <n v="437.25"/>
    <n v="8.4"/>
    <n v="3672.9"/>
    <s v="Con ventas"/>
  </r>
  <r>
    <x v="3"/>
    <s v="Hogar"/>
    <s v="Lámpara"/>
    <x v="1"/>
    <x v="10"/>
    <n v="4"/>
    <n v="374.06"/>
    <n v="1496.24"/>
    <n v="7.53"/>
    <n v="11266.69"/>
    <s v="Con ventas"/>
  </r>
  <r>
    <x v="2"/>
    <s v="Electrónica"/>
    <s v="Laptop"/>
    <x v="3"/>
    <x v="1"/>
    <n v="18"/>
    <n v="153.19"/>
    <n v="2757.42"/>
    <n v="7.97"/>
    <n v="21976.639999999999"/>
    <s v="Con ventas"/>
  </r>
  <r>
    <x v="3"/>
    <s v="Hogar"/>
    <s v="Silla"/>
    <x v="3"/>
    <x v="9"/>
    <n v="7"/>
    <n v="128.01"/>
    <n v="896.07"/>
    <n v="7.72"/>
    <n v="6917.66"/>
    <s v="Con ventas"/>
  </r>
  <r>
    <x v="5"/>
    <s v="Ropa"/>
    <s v="Camisa"/>
    <x v="1"/>
    <x v="9"/>
    <n v="8"/>
    <n v="344.52"/>
    <n v="2756.16"/>
    <n v="8.4700000000000006"/>
    <n v="23344.68"/>
    <s v="Con ventas"/>
  </r>
  <r>
    <x v="1"/>
    <s v="Alimentos"/>
    <s v="Azúcar"/>
    <x v="0"/>
    <x v="0"/>
    <n v="7"/>
    <n v="316.43"/>
    <n v="2215.0100000000002"/>
    <n v="7.53"/>
    <n v="16679.03"/>
    <s v="Con ventas"/>
  </r>
  <r>
    <x v="2"/>
    <s v="Alimentos"/>
    <s v="Cereal"/>
    <x v="0"/>
    <x v="0"/>
    <n v="2"/>
    <n v="377.44"/>
    <n v="754.88"/>
    <n v="7.65"/>
    <n v="5774.83"/>
    <s v="Con ventas"/>
  </r>
  <r>
    <x v="1"/>
    <s v="Ropa"/>
    <s v="Pantalón"/>
    <x v="1"/>
    <x v="1"/>
    <n v="2"/>
    <n v="362.82"/>
    <n v="725.64"/>
    <n v="7.95"/>
    <n v="5768.84"/>
    <s v="Con ventas"/>
  </r>
  <r>
    <x v="0"/>
    <s v="Ropa"/>
    <s v="Pantalón"/>
    <x v="3"/>
    <x v="7"/>
    <n v="9"/>
    <n v="196.96"/>
    <n v="1772.64"/>
    <n v="8.0500000000000007"/>
    <n v="14269.75"/>
    <s v="Con ventas"/>
  </r>
  <r>
    <x v="0"/>
    <s v="Deportes"/>
    <s v="Balón"/>
    <x v="1"/>
    <x v="1"/>
    <n v="12"/>
    <n v="88.77"/>
    <n v="1065.24"/>
    <n v="8.44"/>
    <n v="8990.6299999999992"/>
    <s v="Con ventas"/>
  </r>
  <r>
    <x v="1"/>
    <s v="Hogar"/>
    <s v="Colchón"/>
    <x v="1"/>
    <x v="1"/>
    <n v="17"/>
    <n v="199.14"/>
    <n v="3385.38"/>
    <n v="8.26"/>
    <n v="27963.24"/>
    <s v="Con ventas"/>
  </r>
  <r>
    <x v="0"/>
    <s v="Deportes"/>
    <s v="Cuerda"/>
    <x v="1"/>
    <x v="4"/>
    <n v="9"/>
    <n v="152.69"/>
    <n v="1374.21"/>
    <n v="8.31"/>
    <n v="11419.69"/>
    <s v="Con ventas"/>
  </r>
  <r>
    <x v="2"/>
    <s v="Electrónica"/>
    <s v="Smartphone"/>
    <x v="2"/>
    <x v="5"/>
    <n v="6"/>
    <n v="192.88"/>
    <n v="1157.28"/>
    <n v="8.34"/>
    <n v="9651.7199999999993"/>
    <s v="Con ventas"/>
  </r>
  <r>
    <x v="0"/>
    <s v="Electrónica"/>
    <s v="Auriculares"/>
    <x v="3"/>
    <x v="9"/>
    <n v="9"/>
    <n v="284.41000000000003"/>
    <n v="2559.69"/>
    <n v="7.88"/>
    <n v="20170.36"/>
    <s v="Con ventas"/>
  </r>
  <r>
    <x v="1"/>
    <s v="Deportes"/>
    <s v="Guantes"/>
    <x v="3"/>
    <x v="5"/>
    <n v="20"/>
    <n v="395.63"/>
    <n v="7912.6"/>
    <n v="8.07"/>
    <n v="63854.68"/>
    <s v="Con ventas"/>
  </r>
  <r>
    <x v="0"/>
    <s v="Deportes"/>
    <s v="Balón"/>
    <x v="3"/>
    <x v="0"/>
    <n v="7"/>
    <n v="305.47000000000003"/>
    <n v="2138.29"/>
    <n v="7.67"/>
    <n v="16400.68"/>
    <s v="Con ventas"/>
  </r>
  <r>
    <x v="1"/>
    <s v="Hogar"/>
    <s v="Lámpara"/>
    <x v="2"/>
    <x v="9"/>
    <n v="5"/>
    <n v="112.87"/>
    <n v="564.35"/>
    <n v="8.27"/>
    <n v="4667.17"/>
    <s v="Con ventas"/>
  </r>
  <r>
    <x v="5"/>
    <s v="Alimentos"/>
    <s v="Azúcar"/>
    <x v="1"/>
    <x v="8"/>
    <n v="15"/>
    <n v="288.7"/>
    <n v="4330.5"/>
    <n v="8.4600000000000009"/>
    <n v="36636.03"/>
    <s v="Con ventas"/>
  </r>
  <r>
    <x v="1"/>
    <s v="Ropa"/>
    <s v="Chaqueta"/>
    <x v="0"/>
    <x v="2"/>
    <n v="3"/>
    <n v="262.2"/>
    <n v="786.6"/>
    <n v="7.78"/>
    <n v="6119.75"/>
    <s v="Con ventas"/>
  </r>
  <r>
    <x v="0"/>
    <s v="Ropa"/>
    <s v="Pantalón"/>
    <x v="1"/>
    <x v="8"/>
    <n v="11"/>
    <n v="247.9"/>
    <n v="2726.9"/>
    <n v="7.96"/>
    <n v="21706.12"/>
    <s v="Con ventas"/>
  </r>
  <r>
    <x v="1"/>
    <s v="Alimentos"/>
    <s v="Cereal"/>
    <x v="3"/>
    <x v="3"/>
    <n v="16"/>
    <n v="396.23"/>
    <n v="6339.68"/>
    <n v="7.64"/>
    <n v="48435.16"/>
    <s v="Con ventas"/>
  </r>
  <r>
    <x v="0"/>
    <s v="Deportes"/>
    <s v="Balón"/>
    <x v="3"/>
    <x v="4"/>
    <n v="3"/>
    <n v="288.89"/>
    <n v="866.67"/>
    <n v="8.39"/>
    <n v="7271.36"/>
    <s v="Con ventas"/>
  </r>
  <r>
    <x v="2"/>
    <s v="Electrónica"/>
    <s v="Laptop"/>
    <x v="2"/>
    <x v="9"/>
    <n v="19"/>
    <n v="346.17"/>
    <n v="6577.23"/>
    <n v="8.26"/>
    <n v="54327.92"/>
    <s v="Con ventas"/>
  </r>
  <r>
    <x v="5"/>
    <s v="Alimentos"/>
    <s v="Aceite"/>
    <x v="1"/>
    <x v="2"/>
    <n v="11"/>
    <n v="85.32"/>
    <n v="938.52"/>
    <n v="7.98"/>
    <n v="7489.39"/>
    <s v="Con ventas"/>
  </r>
  <r>
    <x v="3"/>
    <s v="Alimentos"/>
    <s v="Cereal"/>
    <x v="3"/>
    <x v="11"/>
    <n v="11"/>
    <n v="207.37"/>
    <n v="2281.0700000000002"/>
    <n v="7.8"/>
    <n v="17792.349999999999"/>
    <s v="Con ventas"/>
  </r>
  <r>
    <x v="1"/>
    <s v="Alimentos"/>
    <s v="Aceite"/>
    <x v="1"/>
    <x v="11"/>
    <n v="20"/>
    <n v="206.93"/>
    <n v="4138.6000000000004"/>
    <n v="7.88"/>
    <n v="32612.17"/>
    <s v="Con ventas"/>
  </r>
  <r>
    <x v="2"/>
    <s v="Alimentos"/>
    <s v="Cereal"/>
    <x v="3"/>
    <x v="0"/>
    <n v="7"/>
    <n v="131.18"/>
    <n v="918.26"/>
    <n v="8.0399999999999991"/>
    <n v="7382.81"/>
    <s v="Con ventas"/>
  </r>
  <r>
    <x v="4"/>
    <s v="Electrónica"/>
    <s v="Monitor"/>
    <x v="0"/>
    <x v="0"/>
    <n v="3"/>
    <n v="276.36"/>
    <n v="829.08"/>
    <n v="8.43"/>
    <n v="6989.14"/>
    <s v="Con ventas"/>
  </r>
  <r>
    <x v="5"/>
    <s v="Deportes"/>
    <s v="Bicicleta"/>
    <x v="0"/>
    <x v="0"/>
    <n v="2"/>
    <n v="39.049999999999997"/>
    <n v="78.099999999999994"/>
    <n v="8.34"/>
    <n v="651.35"/>
    <s v="Con ventas"/>
  </r>
  <r>
    <x v="2"/>
    <s v="Hogar"/>
    <s v="Colchón"/>
    <x v="3"/>
    <x v="0"/>
    <n v="9"/>
    <n v="279.52"/>
    <n v="2515.6799999999998"/>
    <n v="7.77"/>
    <n v="19546.830000000002"/>
    <s v="Con ventas"/>
  </r>
  <r>
    <x v="0"/>
    <s v="Deportes"/>
    <s v="Cuerda"/>
    <x v="0"/>
    <x v="6"/>
    <n v="14"/>
    <n v="47.5"/>
    <n v="665"/>
    <n v="7.57"/>
    <n v="5034.05"/>
    <s v="Con ventas"/>
  </r>
  <r>
    <x v="2"/>
    <s v="Ropa"/>
    <s v="Chaqueta"/>
    <x v="0"/>
    <x v="10"/>
    <n v="12"/>
    <n v="493.46"/>
    <n v="5921.52"/>
    <n v="8.4700000000000006"/>
    <n v="50155.27"/>
    <s v="Con ventas"/>
  </r>
  <r>
    <x v="5"/>
    <s v="Deportes"/>
    <s v="Cuerda"/>
    <x v="2"/>
    <x v="5"/>
    <n v="20"/>
    <n v="255.07"/>
    <n v="5101.3999999999996"/>
    <n v="8.25"/>
    <n v="42086.55"/>
    <s v="Con ventas"/>
  </r>
  <r>
    <x v="0"/>
    <s v="Electrónica"/>
    <s v="Smartphone"/>
    <x v="3"/>
    <x v="9"/>
    <n v="7"/>
    <n v="189.18"/>
    <n v="1324.26"/>
    <n v="7.86"/>
    <n v="10408.68"/>
    <s v="Con ventas"/>
  </r>
  <r>
    <x v="0"/>
    <s v="Alimentos"/>
    <s v="Aceite"/>
    <x v="1"/>
    <x v="2"/>
    <n v="14"/>
    <n v="300.2"/>
    <n v="4202.8"/>
    <n v="8.36"/>
    <n v="35135.410000000003"/>
    <s v="Con ventas"/>
  </r>
  <r>
    <x v="3"/>
    <s v="Electrónica"/>
    <s v="Monitor"/>
    <x v="1"/>
    <x v="2"/>
    <n v="20"/>
    <n v="131.88999999999999"/>
    <n v="2637.8"/>
    <n v="8.0299999999999994"/>
    <n v="21181.53"/>
    <s v="Con ventas"/>
  </r>
  <r>
    <x v="0"/>
    <s v="Deportes"/>
    <s v="Guantes"/>
    <x v="2"/>
    <x v="4"/>
    <n v="10"/>
    <n v="175.39"/>
    <n v="1753.9"/>
    <n v="8.09"/>
    <n v="14189.05"/>
    <s v="Con ventas"/>
  </r>
  <r>
    <x v="0"/>
    <s v="Deportes"/>
    <s v="Balón"/>
    <x v="2"/>
    <x v="11"/>
    <n v="4"/>
    <n v="145.57"/>
    <n v="582.28"/>
    <n v="8.09"/>
    <n v="4710.6499999999996"/>
    <s v="Con ventas"/>
  </r>
  <r>
    <x v="0"/>
    <s v="Ropa"/>
    <s v="Zapatos"/>
    <x v="0"/>
    <x v="3"/>
    <n v="20"/>
    <n v="448.65"/>
    <n v="8973"/>
    <n v="8.02"/>
    <n v="71963.460000000006"/>
    <s v="Con ventas"/>
  </r>
  <r>
    <x v="3"/>
    <s v="Alimentos"/>
    <s v="Aceite"/>
    <x v="3"/>
    <x v="4"/>
    <n v="4"/>
    <n v="463.02"/>
    <n v="1852.08"/>
    <n v="8.08"/>
    <n v="14964.81"/>
    <s v="Con ventas"/>
  </r>
  <r>
    <x v="0"/>
    <s v="Ropa"/>
    <s v="Camisa"/>
    <x v="2"/>
    <x v="9"/>
    <n v="8"/>
    <n v="162.03"/>
    <n v="1296.24"/>
    <n v="7.74"/>
    <n v="10032.9"/>
    <s v="Con ventas"/>
  </r>
  <r>
    <x v="3"/>
    <s v="Hogar"/>
    <s v="Mesa"/>
    <x v="3"/>
    <x v="5"/>
    <n v="1"/>
    <n v="58.6"/>
    <n v="58.6"/>
    <n v="8.09"/>
    <n v="474.07"/>
    <s v="Con ventas"/>
  </r>
  <r>
    <x v="1"/>
    <s v="Electrónica"/>
    <s v="Smartphone"/>
    <x v="1"/>
    <x v="9"/>
    <n v="6"/>
    <n v="416.53"/>
    <n v="2499.1799999999998"/>
    <n v="8.07"/>
    <n v="20168.38"/>
    <s v="Con ventas"/>
  </r>
  <r>
    <x v="2"/>
    <s v="Alimentos"/>
    <s v="Café"/>
    <x v="1"/>
    <x v="0"/>
    <n v="12"/>
    <n v="147.69999999999999"/>
    <n v="1772.4"/>
    <n v="8.27"/>
    <n v="14657.75"/>
    <s v="Con ventas"/>
  </r>
  <r>
    <x v="3"/>
    <s v="Electrónica"/>
    <s v="Laptop"/>
    <x v="3"/>
    <x v="10"/>
    <n v="15"/>
    <n v="89.61"/>
    <n v="1344.15"/>
    <n v="7.95"/>
    <n v="10685.99"/>
    <s v="Con ventas"/>
  </r>
  <r>
    <x v="3"/>
    <s v="Hogar"/>
    <s v="Colchón"/>
    <x v="0"/>
    <x v="10"/>
    <n v="13"/>
    <n v="399.88"/>
    <n v="5198.4399999999996"/>
    <n v="8.49"/>
    <n v="44134.76"/>
    <s v="Con ventas"/>
  </r>
  <r>
    <x v="2"/>
    <s v="Deportes"/>
    <s v="Balón"/>
    <x v="0"/>
    <x v="11"/>
    <n v="12"/>
    <n v="96.41"/>
    <n v="1156.92"/>
    <n v="7.52"/>
    <n v="8700.0400000000009"/>
    <s v="Con ventas"/>
  </r>
  <r>
    <x v="0"/>
    <s v="Ropa"/>
    <s v="Camisa"/>
    <x v="1"/>
    <x v="5"/>
    <n v="17"/>
    <n v="72.53"/>
    <n v="1233.01"/>
    <n v="7.53"/>
    <n v="9284.57"/>
    <s v="Con ventas"/>
  </r>
  <r>
    <x v="0"/>
    <s v="Hogar"/>
    <s v="Colchón"/>
    <x v="1"/>
    <x v="11"/>
    <n v="13"/>
    <n v="302.14"/>
    <n v="3927.82"/>
    <n v="8.16"/>
    <n v="32051.01"/>
    <s v="Con ventas"/>
  </r>
  <r>
    <x v="1"/>
    <s v="Hogar"/>
    <s v="Colchón"/>
    <x v="0"/>
    <x v="2"/>
    <n v="3"/>
    <n v="470.73"/>
    <n v="1412.19"/>
    <n v="8.4700000000000006"/>
    <n v="11961.25"/>
    <s v="Con ventas"/>
  </r>
  <r>
    <x v="1"/>
    <s v="Electrónica"/>
    <s v="Laptop"/>
    <x v="1"/>
    <x v="5"/>
    <n v="13"/>
    <n v="264.37"/>
    <n v="3436.81"/>
    <n v="8.1"/>
    <n v="27838.16"/>
    <s v="Con ventas"/>
  </r>
  <r>
    <x v="5"/>
    <s v="Electrónica"/>
    <s v="Auriculares"/>
    <x v="0"/>
    <x v="7"/>
    <n v="4"/>
    <n v="227.99"/>
    <n v="911.96"/>
    <n v="7.61"/>
    <n v="6940.02"/>
    <s v="Con ventas"/>
  </r>
  <r>
    <x v="0"/>
    <s v="Ropa"/>
    <s v="Zapatos"/>
    <x v="0"/>
    <x v="11"/>
    <n v="1"/>
    <n v="290.22000000000003"/>
    <n v="290.22000000000003"/>
    <n v="7.5"/>
    <n v="2176.65"/>
    <s v="Con ventas"/>
  </r>
  <r>
    <x v="2"/>
    <s v="Alimentos"/>
    <s v="Cereal"/>
    <x v="0"/>
    <x v="7"/>
    <n v="13"/>
    <n v="284.32"/>
    <n v="3696.16"/>
    <n v="7.85"/>
    <n v="29014.86"/>
    <s v="Con ventas"/>
  </r>
  <r>
    <x v="1"/>
    <s v="Electrónica"/>
    <s v="Smartphone"/>
    <x v="0"/>
    <x v="2"/>
    <n v="14"/>
    <n v="74.45"/>
    <n v="1042.3"/>
    <n v="8.15"/>
    <n v="8494.75"/>
    <s v="Con ventas"/>
  </r>
  <r>
    <x v="0"/>
    <s v="Deportes"/>
    <s v="Balón"/>
    <x v="1"/>
    <x v="1"/>
    <n v="16"/>
    <n v="188.26"/>
    <n v="3012.16"/>
    <n v="7.51"/>
    <n v="22621.32"/>
    <s v="Con ventas"/>
  </r>
  <r>
    <x v="0"/>
    <s v="Alimentos"/>
    <s v="Azúcar"/>
    <x v="3"/>
    <x v="6"/>
    <n v="1"/>
    <n v="257.32"/>
    <n v="257.32"/>
    <n v="8.1"/>
    <n v="2084.29"/>
    <s v="Con ventas"/>
  </r>
  <r>
    <x v="5"/>
    <s v="Hogar"/>
    <s v="Silla"/>
    <x v="0"/>
    <x v="4"/>
    <n v="1"/>
    <n v="466.93"/>
    <n v="466.93"/>
    <n v="7.93"/>
    <n v="3702.75"/>
    <s v="Con ventas"/>
  </r>
  <r>
    <x v="4"/>
    <s v="Ropa"/>
    <s v="Pantalón"/>
    <x v="1"/>
    <x v="4"/>
    <n v="10"/>
    <n v="419.22"/>
    <n v="4192.2"/>
    <n v="8.06"/>
    <n v="33789.129999999997"/>
    <s v="Con ventas"/>
  </r>
  <r>
    <x v="4"/>
    <s v="Hogar"/>
    <s v="Mesa"/>
    <x v="0"/>
    <x v="0"/>
    <n v="4"/>
    <n v="236.75"/>
    <n v="947"/>
    <n v="8.31"/>
    <n v="7869.57"/>
    <s v="Con ventas"/>
  </r>
  <r>
    <x v="0"/>
    <s v="Deportes"/>
    <s v="Cuerda"/>
    <x v="1"/>
    <x v="4"/>
    <n v="3"/>
    <n v="89.46"/>
    <n v="268.38"/>
    <n v="7.6"/>
    <n v="2039.69"/>
    <s v="Con ventas"/>
  </r>
  <r>
    <x v="5"/>
    <s v="Deportes"/>
    <s v="Cuerda"/>
    <x v="3"/>
    <x v="6"/>
    <n v="6"/>
    <n v="132.49"/>
    <n v="794.94"/>
    <n v="8.36"/>
    <n v="6645.7"/>
    <s v="Con ventas"/>
  </r>
  <r>
    <x v="4"/>
    <s v="Deportes"/>
    <s v="Balón"/>
    <x v="3"/>
    <x v="10"/>
    <n v="9"/>
    <n v="315.86"/>
    <n v="2842.74"/>
    <n v="8.3699999999999992"/>
    <n v="23793.73"/>
    <s v="Con ventas"/>
  </r>
  <r>
    <x v="0"/>
    <s v="Ropa"/>
    <s v="Pantalón"/>
    <x v="0"/>
    <x v="7"/>
    <n v="8"/>
    <n v="101.98"/>
    <n v="815.84"/>
    <n v="7.92"/>
    <n v="6461.45"/>
    <s v="Con ventas"/>
  </r>
  <r>
    <x v="2"/>
    <s v="Alimentos"/>
    <s v="Café"/>
    <x v="0"/>
    <x v="10"/>
    <n v="16"/>
    <n v="232.64"/>
    <n v="3722.24"/>
    <n v="8"/>
    <n v="29777.919999999998"/>
    <s v="Con ventas"/>
  </r>
  <r>
    <x v="2"/>
    <s v="Electrónica"/>
    <s v="Auriculares"/>
    <x v="2"/>
    <x v="2"/>
    <n v="19"/>
    <n v="388.73"/>
    <n v="7385.87"/>
    <n v="7.86"/>
    <n v="58052.94"/>
    <s v="Con ventas"/>
  </r>
  <r>
    <x v="3"/>
    <s v="Ropa"/>
    <s v="Zapatos"/>
    <x v="1"/>
    <x v="7"/>
    <n v="7"/>
    <n v="297.62"/>
    <n v="2083.34"/>
    <n v="8.33"/>
    <n v="17354.22"/>
    <s v="Con ventas"/>
  </r>
  <r>
    <x v="2"/>
    <s v="Ropa"/>
    <s v="Camisa"/>
    <x v="0"/>
    <x v="9"/>
    <n v="2"/>
    <n v="149.63"/>
    <n v="299.26"/>
    <n v="8.36"/>
    <n v="2501.81"/>
    <s v="Con ventas"/>
  </r>
  <r>
    <x v="1"/>
    <s v="Hogar"/>
    <s v="Lámpara"/>
    <x v="3"/>
    <x v="1"/>
    <n v="16"/>
    <n v="270.75"/>
    <n v="4332"/>
    <n v="7.57"/>
    <n v="32793.24"/>
    <s v="Con ventas"/>
  </r>
  <r>
    <x v="1"/>
    <s v="Hogar"/>
    <s v="Mesa"/>
    <x v="3"/>
    <x v="4"/>
    <n v="9"/>
    <n v="214.68"/>
    <n v="1932.12"/>
    <n v="7.8"/>
    <n v="15070.54"/>
    <s v="Con ventas"/>
  </r>
  <r>
    <x v="2"/>
    <s v="Ropa"/>
    <s v="Chaqueta"/>
    <x v="0"/>
    <x v="5"/>
    <n v="18"/>
    <n v="252.87"/>
    <n v="4551.66"/>
    <n v="7.72"/>
    <n v="35138.82"/>
    <s v="Con ventas"/>
  </r>
  <r>
    <x v="5"/>
    <s v="Ropa"/>
    <s v="Zapatos"/>
    <x v="0"/>
    <x v="1"/>
    <n v="19"/>
    <n v="447.78"/>
    <n v="8507.82"/>
    <n v="8.26"/>
    <n v="70274.59"/>
    <s v="Con ventas"/>
  </r>
  <r>
    <x v="0"/>
    <s v="Electrónica"/>
    <s v="Auriculares"/>
    <x v="1"/>
    <x v="6"/>
    <n v="3"/>
    <n v="52.48"/>
    <n v="157.44"/>
    <n v="8.33"/>
    <n v="1311.48"/>
    <s v="Con ventas"/>
  </r>
  <r>
    <x v="2"/>
    <s v="Ropa"/>
    <s v="Chaqueta"/>
    <x v="3"/>
    <x v="3"/>
    <n v="5"/>
    <n v="337.14"/>
    <n v="1685.7"/>
    <n v="7.72"/>
    <n v="13013.6"/>
    <s v="Con ventas"/>
  </r>
  <r>
    <x v="3"/>
    <s v="Deportes"/>
    <s v="Guantes"/>
    <x v="3"/>
    <x v="9"/>
    <n v="10"/>
    <n v="446.99"/>
    <n v="4469.8999999999996"/>
    <n v="8.15"/>
    <n v="36429.68"/>
    <s v="Con ventas"/>
  </r>
  <r>
    <x v="3"/>
    <s v="Deportes"/>
    <s v="Cuerda"/>
    <x v="2"/>
    <x v="11"/>
    <n v="15"/>
    <n v="422.41"/>
    <n v="6336.15"/>
    <n v="7.56"/>
    <n v="47901.29"/>
    <s v="Con ventas"/>
  </r>
  <r>
    <x v="3"/>
    <s v="Deportes"/>
    <s v="Balón"/>
    <x v="3"/>
    <x v="7"/>
    <n v="15"/>
    <n v="255.14"/>
    <n v="3827.1"/>
    <n v="7.76"/>
    <n v="29698.3"/>
    <s v="Con ventas"/>
  </r>
  <r>
    <x v="1"/>
    <s v="Alimentos"/>
    <s v="Café"/>
    <x v="1"/>
    <x v="9"/>
    <n v="7"/>
    <n v="124.97"/>
    <n v="874.79"/>
    <n v="7.85"/>
    <n v="6867.1"/>
    <s v="Con ventas"/>
  </r>
  <r>
    <x v="1"/>
    <s v="Deportes"/>
    <s v="Cuerda"/>
    <x v="2"/>
    <x v="5"/>
    <n v="15"/>
    <n v="491.05"/>
    <n v="7365.75"/>
    <n v="8.43"/>
    <n v="62093.27"/>
    <s v="Con ventas"/>
  </r>
  <r>
    <x v="3"/>
    <s v="Electrónica"/>
    <s v="Smartphone"/>
    <x v="1"/>
    <x v="4"/>
    <n v="10"/>
    <n v="96.26"/>
    <n v="962.6"/>
    <n v="7.85"/>
    <n v="7556.41"/>
    <s v="Con ventas"/>
  </r>
  <r>
    <x v="3"/>
    <s v="Ropa"/>
    <s v="Pantalón"/>
    <x v="3"/>
    <x v="1"/>
    <n v="8"/>
    <n v="389.83"/>
    <n v="3118.64"/>
    <n v="7.99"/>
    <n v="24917.93"/>
    <s v="Con ventas"/>
  </r>
  <r>
    <x v="0"/>
    <s v="Deportes"/>
    <s v="Cuerda"/>
    <x v="0"/>
    <x v="4"/>
    <n v="11"/>
    <n v="179.51"/>
    <n v="1974.61"/>
    <n v="7.78"/>
    <n v="15362.47"/>
    <s v="Con ventas"/>
  </r>
  <r>
    <x v="4"/>
    <s v="Ropa"/>
    <s v="Zapatos"/>
    <x v="1"/>
    <x v="9"/>
    <n v="9"/>
    <n v="304.82"/>
    <n v="2743.38"/>
    <n v="7.6"/>
    <n v="20849.689999999999"/>
    <s v="Con ventas"/>
  </r>
  <r>
    <x v="5"/>
    <s v="Electrónica"/>
    <s v="Auriculares"/>
    <x v="3"/>
    <x v="7"/>
    <n v="17"/>
    <n v="192.36"/>
    <n v="3270.12"/>
    <n v="7.58"/>
    <n v="24787.51"/>
    <s v="Con ventas"/>
  </r>
  <r>
    <x v="4"/>
    <s v="Hogar"/>
    <s v="Lámpara"/>
    <x v="0"/>
    <x v="4"/>
    <n v="6"/>
    <n v="445.12"/>
    <n v="2670.72"/>
    <n v="7.64"/>
    <n v="20404.3"/>
    <s v="Con ventas"/>
  </r>
  <r>
    <x v="1"/>
    <s v="Electrónica"/>
    <s v="Monitor"/>
    <x v="1"/>
    <x v="7"/>
    <n v="19"/>
    <n v="216.18"/>
    <n v="4107.42"/>
    <n v="8.02"/>
    <n v="32941.51"/>
    <s v="Con ventas"/>
  </r>
  <r>
    <x v="5"/>
    <s v="Ropa"/>
    <s v="Zapatos"/>
    <x v="2"/>
    <x v="5"/>
    <n v="3"/>
    <n v="187.64"/>
    <n v="562.91999999999996"/>
    <n v="7.5"/>
    <n v="4221.8999999999996"/>
    <s v="Con ventas"/>
  </r>
  <r>
    <x v="5"/>
    <s v="Electrónica"/>
    <s v="Monitor"/>
    <x v="2"/>
    <x v="4"/>
    <n v="16"/>
    <n v="270.16000000000003"/>
    <n v="4322.5600000000004"/>
    <n v="7.53"/>
    <n v="32548.880000000001"/>
    <s v="Con ventas"/>
  </r>
  <r>
    <x v="4"/>
    <s v="Ropa"/>
    <s v="Camisa"/>
    <x v="1"/>
    <x v="11"/>
    <n v="12"/>
    <n v="85.13"/>
    <n v="1021.56"/>
    <n v="7.85"/>
    <n v="8019.25"/>
    <s v="Con ventas"/>
  </r>
  <r>
    <x v="2"/>
    <s v="Alimentos"/>
    <s v="Café"/>
    <x v="3"/>
    <x v="0"/>
    <n v="11"/>
    <n v="465.38"/>
    <n v="5119.18"/>
    <n v="7.91"/>
    <n v="40492.71"/>
    <s v="Con ventas"/>
  </r>
  <r>
    <x v="3"/>
    <s v="Ropa"/>
    <s v="Chaqueta"/>
    <x v="3"/>
    <x v="9"/>
    <n v="16"/>
    <n v="170.96"/>
    <n v="2735.36"/>
    <n v="8.1999999999999993"/>
    <n v="22429.95"/>
    <s v="Con ventas"/>
  </r>
  <r>
    <x v="5"/>
    <s v="Alimentos"/>
    <s v="Café"/>
    <x v="3"/>
    <x v="10"/>
    <n v="19"/>
    <n v="265.72000000000003"/>
    <n v="5048.68"/>
    <n v="8.01"/>
    <n v="40439.93"/>
    <s v="Con ventas"/>
  </r>
  <r>
    <x v="0"/>
    <s v="Alimentos"/>
    <s v="Cereal"/>
    <x v="0"/>
    <x v="0"/>
    <n v="13"/>
    <n v="498.01"/>
    <n v="6474.13"/>
    <n v="7.63"/>
    <n v="49397.61"/>
    <s v="Con ventas"/>
  </r>
  <r>
    <x v="2"/>
    <s v="Electrónica"/>
    <s v="Monitor"/>
    <x v="3"/>
    <x v="0"/>
    <n v="13"/>
    <n v="68.89"/>
    <n v="895.57"/>
    <n v="7.93"/>
    <n v="7101.87"/>
    <s v="Con ventas"/>
  </r>
  <r>
    <x v="3"/>
    <s v="Ropa"/>
    <s v="Zapatos"/>
    <x v="3"/>
    <x v="3"/>
    <n v="6"/>
    <n v="18.73"/>
    <n v="112.38"/>
    <n v="7.73"/>
    <n v="868.7"/>
    <s v="Con ventas"/>
  </r>
  <r>
    <x v="2"/>
    <s v="Deportes"/>
    <s v="Cuerda"/>
    <x v="2"/>
    <x v="8"/>
    <n v="17"/>
    <n v="33.299999999999997"/>
    <n v="566.1"/>
    <n v="8.0399999999999991"/>
    <n v="4551.4399999999996"/>
    <s v="Con ventas"/>
  </r>
  <r>
    <x v="3"/>
    <s v="Deportes"/>
    <s v="Balón"/>
    <x v="1"/>
    <x v="0"/>
    <n v="5"/>
    <n v="266.23"/>
    <n v="1331.15"/>
    <n v="8.2899999999999991"/>
    <n v="11035.23"/>
    <s v="Con ventas"/>
  </r>
  <r>
    <x v="3"/>
    <s v="Deportes"/>
    <s v="Cuerda"/>
    <x v="2"/>
    <x v="4"/>
    <n v="18"/>
    <n v="347"/>
    <n v="6246"/>
    <n v="7.7"/>
    <n v="48094.2"/>
    <s v="Con ventas"/>
  </r>
  <r>
    <x v="4"/>
    <s v="Alimentos"/>
    <s v="Cereal"/>
    <x v="3"/>
    <x v="1"/>
    <n v="11"/>
    <n v="51.91"/>
    <n v="571.01"/>
    <n v="7.6"/>
    <n v="4339.68"/>
    <s v="Con ventas"/>
  </r>
  <r>
    <x v="2"/>
    <s v="Ropa"/>
    <s v="Chaqueta"/>
    <x v="2"/>
    <x v="6"/>
    <n v="13"/>
    <n v="326.25"/>
    <n v="4241.25"/>
    <n v="7.81"/>
    <n v="33124.160000000003"/>
    <s v="Con ventas"/>
  </r>
  <r>
    <x v="2"/>
    <s v="Deportes"/>
    <s v="Balón"/>
    <x v="0"/>
    <x v="2"/>
    <n v="1"/>
    <n v="13.29"/>
    <n v="13.29"/>
    <n v="8.09"/>
    <n v="107.52"/>
    <s v="Con ventas"/>
  </r>
  <r>
    <x v="5"/>
    <s v="Alimentos"/>
    <s v="Azúcar"/>
    <x v="3"/>
    <x v="0"/>
    <n v="4"/>
    <n v="210.85"/>
    <n v="843.4"/>
    <n v="7.73"/>
    <n v="6519.48"/>
    <s v="Con ventas"/>
  </r>
  <r>
    <x v="3"/>
    <s v="Electrónica"/>
    <s v="Laptop"/>
    <x v="2"/>
    <x v="10"/>
    <n v="18"/>
    <n v="432.6"/>
    <n v="7786.8"/>
    <n v="7.51"/>
    <n v="58478.87"/>
    <s v="Con ventas"/>
  </r>
  <r>
    <x v="1"/>
    <s v="Hogar"/>
    <s v="Silla"/>
    <x v="1"/>
    <x v="6"/>
    <n v="14"/>
    <n v="353.55"/>
    <n v="4949.7"/>
    <n v="7.61"/>
    <n v="37667.22"/>
    <s v="Con ventas"/>
  </r>
  <r>
    <x v="5"/>
    <s v="Electrónica"/>
    <s v="Laptop"/>
    <x v="1"/>
    <x v="7"/>
    <n v="15"/>
    <n v="206.07"/>
    <n v="3091.05"/>
    <n v="8.35"/>
    <n v="25810.27"/>
    <s v="Con ventas"/>
  </r>
  <r>
    <x v="2"/>
    <s v="Electrónica"/>
    <s v="Auriculares"/>
    <x v="2"/>
    <x v="5"/>
    <n v="8"/>
    <n v="365.7"/>
    <n v="2925.6"/>
    <n v="8.0500000000000007"/>
    <n v="23551.08"/>
    <s v="Con ventas"/>
  </r>
  <r>
    <x v="0"/>
    <s v="Hogar"/>
    <s v="Lámpara"/>
    <x v="2"/>
    <x v="7"/>
    <n v="12"/>
    <n v="469.14"/>
    <n v="5629.68"/>
    <n v="8.4600000000000009"/>
    <n v="47627.09"/>
    <s v="Con ventas"/>
  </r>
  <r>
    <x v="0"/>
    <s v="Hogar"/>
    <s v="Lámpara"/>
    <x v="2"/>
    <x v="11"/>
    <n v="6"/>
    <n v="22.92"/>
    <n v="137.52000000000001"/>
    <n v="8.06"/>
    <n v="1108.4100000000001"/>
    <s v="Con ventas"/>
  </r>
  <r>
    <x v="5"/>
    <s v="Hogar"/>
    <s v="Colchón"/>
    <x v="2"/>
    <x v="7"/>
    <n v="18"/>
    <n v="488.06"/>
    <n v="8785.08"/>
    <n v="8.41"/>
    <n v="73882.52"/>
    <s v="Con ventas"/>
  </r>
  <r>
    <x v="1"/>
    <s v="Deportes"/>
    <s v="Guantes"/>
    <x v="1"/>
    <x v="2"/>
    <n v="5"/>
    <n v="258.66000000000003"/>
    <n v="1293.3"/>
    <n v="7.91"/>
    <n v="10230"/>
    <s v="Con ventas"/>
  </r>
  <r>
    <x v="4"/>
    <s v="Ropa"/>
    <s v="Camisa"/>
    <x v="3"/>
    <x v="0"/>
    <n v="11"/>
    <n v="273.88"/>
    <n v="3012.68"/>
    <n v="8.16"/>
    <n v="24583.47"/>
    <s v="Con ventas"/>
  </r>
  <r>
    <x v="4"/>
    <s v="Hogar"/>
    <s v="Lámpara"/>
    <x v="2"/>
    <x v="10"/>
    <n v="6"/>
    <n v="84.96"/>
    <n v="509.76"/>
    <n v="7.73"/>
    <n v="3940.44"/>
    <s v="Con ventas"/>
  </r>
  <r>
    <x v="5"/>
    <s v="Ropa"/>
    <s v="Camisa"/>
    <x v="0"/>
    <x v="10"/>
    <n v="8"/>
    <n v="46.46"/>
    <n v="371.68"/>
    <n v="7.87"/>
    <n v="2925.12"/>
    <s v="Con venta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28B13-15B7-4269-8C08-33F033930472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colHeaderCaption="Año">
  <location ref="A3:F17" firstHeaderRow="1" firstDataRow="2" firstDataCol="1"/>
  <pivotFields count="11">
    <pivotField showAll="0">
      <items count="7">
        <item x="2"/>
        <item x="0"/>
        <item x="3"/>
        <item x="1"/>
        <item x="5"/>
        <item x="4"/>
        <item t="default"/>
      </items>
    </pivotField>
    <pivotField showAll="0"/>
    <pivotField showAll="0"/>
    <pivotField axis="axisCol" showAll="0">
      <items count="5">
        <item x="1"/>
        <item x="0"/>
        <item x="3"/>
        <item x="2"/>
        <item t="default"/>
      </items>
    </pivotField>
    <pivotField axis="axisRow" showAll="0">
      <items count="13">
        <item x="8"/>
        <item x="4"/>
        <item x="10"/>
        <item x="0"/>
        <item x="11"/>
        <item x="1"/>
        <item x="2"/>
        <item x="6"/>
        <item x="5"/>
        <item x="3"/>
        <item x="7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a de Venta Total (Q)" fld="9" baseField="0" baseItem="0" numFmtId="164"/>
  </dataFields>
  <formats count="4">
    <format dxfId="3">
      <pivotArea collapsedLevelsAreSubtotals="1" fieldPosition="0">
        <references count="2">
          <reference field="3" count="1" selected="0">
            <x v="0"/>
          </reference>
          <reference field="4" count="1">
            <x v="5"/>
          </reference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3" count="0"/>
        </references>
      </pivotArea>
    </format>
    <format dxfId="0">
      <pivotArea dataOnly="0" labelOnly="1" grandCol="1" outline="0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B72468-2067-48C9-832C-6E31E7F3973D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1" firstHeaderRow="1" firstDataRow="2" firstDataCol="1" rowPageCount="1" colPageCount="1"/>
  <pivotFields count="11">
    <pivotField axis="axisRow" showAll="0">
      <items count="7">
        <item x="2"/>
        <item x="0"/>
        <item x="3"/>
        <item x="1"/>
        <item x="5"/>
        <item x="4"/>
        <item t="default"/>
      </items>
    </pivotField>
    <pivotField showAll="0">
      <items count="6">
        <item x="1"/>
        <item x="4"/>
        <item x="0"/>
        <item x="2"/>
        <item x="3"/>
        <item t="default"/>
      </items>
    </pivotField>
    <pivotField showAll="0"/>
    <pivotField axis="axisCol" showAll="0">
      <items count="5">
        <item x="1"/>
        <item x="0"/>
        <item x="3"/>
        <item x="2"/>
        <item t="default"/>
      </items>
    </pivotField>
    <pivotField showAll="0">
      <items count="13">
        <item x="8"/>
        <item x="4"/>
        <item x="10"/>
        <item x="0"/>
        <item x="11"/>
        <item x="1"/>
        <item x="2"/>
        <item x="6"/>
        <item x="5"/>
        <item x="3"/>
        <item x="7"/>
        <item x="9"/>
        <item t="default"/>
      </items>
    </pivotField>
    <pivotField showAll="0"/>
    <pivotField showAll="0"/>
    <pivotField showAll="0"/>
    <pivotField showAll="0"/>
    <pivotField dataField="1" showAll="0"/>
    <pivotField axis="axisPage" showAll="0">
      <items count="3">
        <item x="1"/>
        <item x="0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10" item="0" hier="-1"/>
  </pageFields>
  <dataFields count="1">
    <dataField name="Suma de Venta Total (Q)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8CAD4DCA-8ED6-4739-9957-BFDF4BE8A706}" sourceName="Categoría">
  <pivotTables>
    <pivotTable tabId="4" name="TablaDinámica1"/>
  </pivotTables>
  <data>
    <tabular pivotCacheId="1592348647">
      <items count="5">
        <i x="1" s="1"/>
        <i x="4" s="1"/>
        <i x="0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4FCF547-9C94-453A-A683-9452FF981951}" sourceName="Mes">
  <pivotTables>
    <pivotTable tabId="4" name="TablaDinámica1"/>
  </pivotTables>
  <data>
    <tabular pivotCacheId="1592348647">
      <items count="12">
        <i x="8" s="1"/>
        <i x="4" s="1"/>
        <i x="10" s="1"/>
        <i x="0" s="1"/>
        <i x="11" s="1"/>
        <i x="1" s="1"/>
        <i x="2" s="1"/>
        <i x="6" s="1"/>
        <i x="5" s="1"/>
        <i x="3" s="1"/>
        <i x="7" s="1"/>
        <i x="9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ís" xr10:uid="{17C2612F-6EA8-4A1F-BECE-152526CCEFBA}" sourceName="País">
  <pivotTables>
    <pivotTable tabId="5" name="TablaDinámica2"/>
  </pivotTables>
  <data>
    <tabular pivotCacheId="1504959669">
      <items count="6">
        <i x="2" s="1"/>
        <i x="0" s="1"/>
        <i x="3" s="1"/>
        <i x="1" s="1"/>
        <i x="5" s="1"/>
        <i x="4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D43C2313-1FF0-437B-9E4C-0F32064BC8DB}" sourceName="Año">
  <pivotTables>
    <pivotTable tabId="5" name="TablaDinámica2"/>
  </pivotTables>
  <data>
    <tabular pivotCacheId="1504959669">
      <items count="4">
        <i x="1" s="1"/>
        <i x="0" s="1"/>
        <i x="3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ís" xr10:uid="{C3D5C131-FD23-48DF-810F-FA2D8DE97169}" cache="SegmentaciónDeDatos_País" caption="País" columnCount="3" rowHeight="241300"/>
  <slicer name="Año" xr10:uid="{B64B4566-8203-49F7-98E5-E3502AB7B768}" cache="SegmentaciónDeDatos_Año" caption="Año" columnCount="4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" xr10:uid="{5BE5FB58-03BB-4D2A-BB6A-346F8F6A5A2B}" cache="SegmentaciónDeDatos_Categoría" caption="Categoría" rowHeight="241300"/>
  <slicer name="Mes" xr10:uid="{F4835F65-2CB7-48D7-AAFF-A7F333112A0F}" cache="SegmentaciónDeDatos_Mes" caption="Me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81AB6B-771C-42BC-8E4E-CBA3CA4D61AF}" name="Tabla1" displayName="Tabla1" ref="A1:N501" totalsRowShown="0" headerRowDxfId="12">
  <tableColumns count="14">
    <tableColumn id="1" xr3:uid="{4756A66C-701A-4C55-95D0-7D5FA1FD35D7}" name="País"/>
    <tableColumn id="2" xr3:uid="{227D6CFD-A292-4185-B902-A4DD5678CA91}" name="Categoría"/>
    <tableColumn id="3" xr3:uid="{0CACE203-6119-42C5-AAF8-2BBD3B4F751D}" name="Producto"/>
    <tableColumn id="4" xr3:uid="{E29E0D97-929D-491A-9480-9819FA8AD7FF}" name="Año"/>
    <tableColumn id="5" xr3:uid="{CF4354CF-24AF-4417-813C-514CBEDC7852}" name="Mes"/>
    <tableColumn id="6" xr3:uid="{FB8B2541-CA45-4794-8FD9-ACE760ADE7F8}" name="Cantidad Vendida"/>
    <tableColumn id="7" xr3:uid="{009AE389-D3BA-453F-934E-C9447D7CE674}" name="Precio Unitario (USD)" dataDxfId="11"/>
    <tableColumn id="8" xr3:uid="{89E42CF2-371D-49DA-BED7-88C04A9C9D34}" name="Venta Total (USD)" dataDxfId="10">
      <calculatedColumnFormula>Tabla1[[#This Row],[Cantidad Vendida]]*Tabla1[[#This Row],[Precio Unitario (USD)]]</calculatedColumnFormula>
    </tableColumn>
    <tableColumn id="9" xr3:uid="{B5281167-BB62-4BE3-9B67-F2FE2796960A}" name="Tipo de Cambio" dataDxfId="9"/>
    <tableColumn id="10" xr3:uid="{C0900734-08B3-4B2D-9C70-96C66ED671DC}" name="Venta Total (Q)" dataDxfId="8">
      <calculatedColumnFormula>H2 * I2</calculatedColumnFormula>
    </tableColumn>
    <tableColumn id="11" xr3:uid="{EB1C0385-090B-4303-8909-CE51C85E82B6}" name="Estado de Venta" dataDxfId="7">
      <calculatedColumnFormula>IF(Tabla1[[#This Row],[Venta Total (Q)]] = 0, "Sin ventas", "Con ventas")</calculatedColumnFormula>
    </tableColumn>
    <tableColumn id="12" xr3:uid="{A14F974A-88E9-450D-AD78-DD22E101331F}" name="Costo Uunitario" dataDxfId="6">
      <calculatedColumnFormula>IF(G2&gt;0, G2*0.7, "")</calculatedColumnFormula>
    </tableColumn>
    <tableColumn id="13" xr3:uid="{A606D2E7-8687-4053-A845-CDEA9845D474}" name="Costo Total (USD)" dataDxfId="5">
      <calculatedColumnFormula>F2 * L2</calculatedColumnFormula>
    </tableColumn>
    <tableColumn id="14" xr3:uid="{62D82905-1CE1-4BA6-9FA2-D85EE1067D56}" name="Utilidad Bruta (USD)" dataDxfId="4">
      <calculatedColumnFormula>Tabla1[[#This Row],[Venta Total (USD)]] - Tabla1[[#This Row],[Costo Total (USD)]]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D8"/>
  <sheetViews>
    <sheetView workbookViewId="0">
      <selection activeCell="A8" sqref="A8"/>
    </sheetView>
  </sheetViews>
  <sheetFormatPr baseColWidth="10" defaultColWidth="0" defaultRowHeight="15" zeroHeight="1" x14ac:dyDescent="0.25"/>
  <cols>
    <col min="1" max="1" width="40" customWidth="1"/>
    <col min="2" max="4" width="0" hidden="1" customWidth="1"/>
    <col min="5" max="16384" width="9.140625" hidden="1"/>
  </cols>
  <sheetData>
    <row r="1" spans="1:1" ht="18.75" x14ac:dyDescent="0.3">
      <c r="A1" s="24" t="s">
        <v>41</v>
      </c>
    </row>
    <row r="2" spans="1:1" x14ac:dyDescent="0.25"/>
    <row r="3" spans="1:1" x14ac:dyDescent="0.25">
      <c r="A3" s="22" t="s">
        <v>75</v>
      </c>
    </row>
    <row r="4" spans="1:1" ht="20.100000000000001" customHeight="1" x14ac:dyDescent="0.25">
      <c r="A4" s="4" t="s">
        <v>42</v>
      </c>
    </row>
    <row r="5" spans="1:1" ht="20.100000000000001" customHeight="1" x14ac:dyDescent="0.25">
      <c r="A5" s="4" t="s">
        <v>43</v>
      </c>
    </row>
    <row r="6" spans="1:1" ht="20.100000000000001" customHeight="1" x14ac:dyDescent="0.25">
      <c r="A6" s="4" t="s">
        <v>44</v>
      </c>
    </row>
    <row r="7" spans="1:1" ht="20.100000000000001" customHeight="1" x14ac:dyDescent="0.25">
      <c r="A7" s="4" t="s">
        <v>74</v>
      </c>
    </row>
    <row r="8" spans="1:1" x14ac:dyDescent="0.25"/>
  </sheetData>
  <hyperlinks>
    <hyperlink ref="A4" location="'Resumen KPIs'!A1" display="Resumen de KPIs" xr:uid="{91B1C5F7-D638-40C6-B43B-7F598D390418}"/>
    <hyperlink ref="A5" location="td_PaisAnio!A1" display="Tabla dinámica por país y año" xr:uid="{191CB69D-FCED-4C32-8863-1D24AF4203FD}"/>
    <hyperlink ref="A6" location="Grafico_Mensual!A1" display="Gráfico de evolución mensual" xr:uid="{B4FCCD6E-E039-4435-A756-B1D374413907}"/>
    <hyperlink ref="A7" location="Parametros!A1" display="Top productos por categoría" xr:uid="{8B57ABBB-7289-40EB-A4C1-10CED8070A37}"/>
    <hyperlink ref="A3" location="Matriz!A1" display="Matriz de datos" xr:uid="{980005B1-5ED7-479D-840E-7EF0D5A97EAD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P501"/>
  <sheetViews>
    <sheetView workbookViewId="0">
      <selection activeCell="P1" sqref="P1"/>
    </sheetView>
  </sheetViews>
  <sheetFormatPr baseColWidth="10" defaultColWidth="9.140625" defaultRowHeight="15" x14ac:dyDescent="0.25"/>
  <cols>
    <col min="1" max="1" width="10.5703125" bestFit="1" customWidth="1"/>
    <col min="2" max="2" width="14" bestFit="1" customWidth="1"/>
    <col min="3" max="3" width="13.5703125" bestFit="1" customWidth="1"/>
    <col min="4" max="4" width="9.140625" bestFit="1" customWidth="1"/>
    <col min="5" max="5" width="9.42578125" bestFit="1" customWidth="1"/>
    <col min="6" max="6" width="21.42578125" bestFit="1" customWidth="1"/>
    <col min="7" max="7" width="24.5703125" bestFit="1" customWidth="1"/>
    <col min="8" max="8" width="21.42578125" bestFit="1" customWidth="1"/>
    <col min="9" max="9" width="19.28515625" bestFit="1" customWidth="1"/>
    <col min="10" max="10" width="19" bestFit="1" customWidth="1"/>
    <col min="11" max="11" width="17.5703125" bestFit="1" customWidth="1"/>
    <col min="12" max="12" width="19.28515625" bestFit="1" customWidth="1"/>
    <col min="13" max="13" width="21.140625" bestFit="1" customWidth="1"/>
    <col min="14" max="14" width="23.5703125" bestFit="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t="s">
        <v>57</v>
      </c>
      <c r="L1" s="8" t="s">
        <v>63</v>
      </c>
      <c r="M1" s="8" t="s">
        <v>61</v>
      </c>
      <c r="N1" s="8" t="s">
        <v>62</v>
      </c>
      <c r="P1" s="15" t="s">
        <v>71</v>
      </c>
    </row>
    <row r="2" spans="1:16" x14ac:dyDescent="0.25">
      <c r="A2" t="s">
        <v>10</v>
      </c>
      <c r="B2" t="s">
        <v>11</v>
      </c>
      <c r="C2" t="s">
        <v>12</v>
      </c>
      <c r="D2">
        <v>2023</v>
      </c>
      <c r="E2">
        <v>4</v>
      </c>
      <c r="F2">
        <v>10</v>
      </c>
      <c r="G2" s="20">
        <v>36.92</v>
      </c>
      <c r="H2" s="20">
        <f>Tabla1[[#This Row],[Cantidad Vendida]]*Tabla1[[#This Row],[Precio Unitario (USD)]]</f>
        <v>369.20000000000005</v>
      </c>
      <c r="I2" s="21">
        <v>8.3000000000000007</v>
      </c>
      <c r="J2" s="5">
        <f>H2 * I2</f>
        <v>3064.3600000000006</v>
      </c>
      <c r="K2" t="str">
        <f>IF(Tabla1[[#This Row],[Venta Total (Q)]] = 0, "Sin ventas", "Con ventas")</f>
        <v>Con ventas</v>
      </c>
      <c r="L2" s="20">
        <f t="shared" ref="L2:L65" si="0">IF(G2&gt;0, G2*0.7, "")</f>
        <v>25.844000000000001</v>
      </c>
      <c r="M2" s="20">
        <f>F2 * L2</f>
        <v>258.44</v>
      </c>
      <c r="N2" s="20">
        <f>Tabla1[[#This Row],[Venta Total (USD)]] - Tabla1[[#This Row],[Costo Total (USD)]]</f>
        <v>110.76000000000005</v>
      </c>
    </row>
    <row r="3" spans="1:16" x14ac:dyDescent="0.25">
      <c r="A3" t="s">
        <v>10</v>
      </c>
      <c r="B3" t="s">
        <v>13</v>
      </c>
      <c r="C3" t="s">
        <v>14</v>
      </c>
      <c r="D3">
        <v>2022</v>
      </c>
      <c r="E3">
        <v>6</v>
      </c>
      <c r="F3">
        <v>15</v>
      </c>
      <c r="G3" s="20">
        <v>357.02</v>
      </c>
      <c r="H3" s="20">
        <f>Tabla1[[#This Row],[Cantidad Vendida]]*Tabla1[[#This Row],[Precio Unitario (USD)]]</f>
        <v>5355.2999999999993</v>
      </c>
      <c r="I3" s="21">
        <v>7.78</v>
      </c>
      <c r="J3" s="5">
        <f t="shared" ref="J3:J66" si="1">H3 * I3</f>
        <v>41664.233999999997</v>
      </c>
      <c r="K3" t="str">
        <f>IF(Tabla1[[#This Row],[Venta Total (Q)]] = 0, "Sin ventas", "Con ventas")</f>
        <v>Con ventas</v>
      </c>
      <c r="L3" s="20">
        <f t="shared" si="0"/>
        <v>249.91399999999996</v>
      </c>
      <c r="M3" s="20">
        <f t="shared" ref="M3:M65" si="2">F3 * L3</f>
        <v>3748.7099999999996</v>
      </c>
      <c r="N3" s="20">
        <f>Tabla1[[#This Row],[Venta Total (USD)]] - Tabla1[[#This Row],[Costo Total (USD)]]</f>
        <v>1606.5899999999997</v>
      </c>
    </row>
    <row r="4" spans="1:16" x14ac:dyDescent="0.25">
      <c r="A4" t="s">
        <v>15</v>
      </c>
      <c r="B4" t="s">
        <v>13</v>
      </c>
      <c r="C4" t="s">
        <v>14</v>
      </c>
      <c r="D4">
        <v>2023</v>
      </c>
      <c r="E4">
        <v>6</v>
      </c>
      <c r="F4">
        <v>11</v>
      </c>
      <c r="G4" s="20">
        <v>119.46</v>
      </c>
      <c r="H4" s="20">
        <f>Tabla1[[#This Row],[Cantidad Vendida]]*Tabla1[[#This Row],[Precio Unitario (USD)]]</f>
        <v>1314.06</v>
      </c>
      <c r="I4" s="21">
        <v>8.42</v>
      </c>
      <c r="J4" s="5">
        <f t="shared" si="1"/>
        <v>11064.385199999999</v>
      </c>
      <c r="K4" t="str">
        <f>IF(Tabla1[[#This Row],[Venta Total (Q)]] = 0, "Sin ventas", "Con ventas")</f>
        <v>Con ventas</v>
      </c>
      <c r="L4" s="20">
        <f t="shared" si="0"/>
        <v>83.621999999999986</v>
      </c>
      <c r="M4" s="20">
        <f t="shared" si="2"/>
        <v>919.84199999999987</v>
      </c>
      <c r="N4" s="20">
        <f>Tabla1[[#This Row],[Venta Total (USD)]] - Tabla1[[#This Row],[Costo Total (USD)]]</f>
        <v>394.21800000000007</v>
      </c>
    </row>
    <row r="5" spans="1:16" x14ac:dyDescent="0.25">
      <c r="A5" t="s">
        <v>16</v>
      </c>
      <c r="B5" t="s">
        <v>17</v>
      </c>
      <c r="C5" t="s">
        <v>18</v>
      </c>
      <c r="D5">
        <v>2025</v>
      </c>
      <c r="E5">
        <v>7</v>
      </c>
      <c r="F5">
        <v>16</v>
      </c>
      <c r="G5" s="20">
        <v>48.69</v>
      </c>
      <c r="H5" s="20">
        <f>Tabla1[[#This Row],[Cantidad Vendida]]*Tabla1[[#This Row],[Precio Unitario (USD)]]</f>
        <v>779.04</v>
      </c>
      <c r="I5" s="21">
        <v>8.06</v>
      </c>
      <c r="J5" s="5">
        <f t="shared" si="1"/>
        <v>6279.0623999999998</v>
      </c>
      <c r="K5" t="str">
        <f>IF(Tabla1[[#This Row],[Venta Total (Q)]] = 0, "Sin ventas", "Con ventas")</f>
        <v>Con ventas</v>
      </c>
      <c r="L5" s="20">
        <f t="shared" si="0"/>
        <v>34.082999999999998</v>
      </c>
      <c r="M5" s="20">
        <f t="shared" si="2"/>
        <v>545.32799999999997</v>
      </c>
      <c r="N5" s="20">
        <f>Tabla1[[#This Row],[Venta Total (USD)]] - Tabla1[[#This Row],[Costo Total (USD)]]</f>
        <v>233.71199999999999</v>
      </c>
    </row>
    <row r="6" spans="1:16" x14ac:dyDescent="0.25">
      <c r="A6" t="s">
        <v>15</v>
      </c>
      <c r="B6" t="s">
        <v>17</v>
      </c>
      <c r="C6" t="s">
        <v>19</v>
      </c>
      <c r="D6">
        <v>2025</v>
      </c>
      <c r="E6">
        <v>7</v>
      </c>
      <c r="F6">
        <v>3</v>
      </c>
      <c r="G6" s="20">
        <v>250.23</v>
      </c>
      <c r="H6" s="20">
        <f>Tabla1[[#This Row],[Cantidad Vendida]]*Tabla1[[#This Row],[Precio Unitario (USD)]]</f>
        <v>750.68999999999994</v>
      </c>
      <c r="I6" s="21">
        <v>8.4499999999999993</v>
      </c>
      <c r="J6" s="5">
        <f t="shared" si="1"/>
        <v>6343.3304999999991</v>
      </c>
      <c r="K6" t="str">
        <f>IF(Tabla1[[#This Row],[Venta Total (Q)]] = 0, "Sin ventas", "Con ventas")</f>
        <v>Con ventas</v>
      </c>
      <c r="L6" s="20">
        <f t="shared" si="0"/>
        <v>175.16099999999997</v>
      </c>
      <c r="M6" s="20">
        <f t="shared" si="2"/>
        <v>525.48299999999995</v>
      </c>
      <c r="N6" s="20">
        <f>Tabla1[[#This Row],[Venta Total (USD)]] - Tabla1[[#This Row],[Costo Total (USD)]]</f>
        <v>225.20699999999999</v>
      </c>
    </row>
    <row r="7" spans="1:16" x14ac:dyDescent="0.25">
      <c r="A7" t="s">
        <v>20</v>
      </c>
      <c r="B7" t="s">
        <v>21</v>
      </c>
      <c r="C7" t="s">
        <v>22</v>
      </c>
      <c r="D7">
        <v>2023</v>
      </c>
      <c r="E7">
        <v>10</v>
      </c>
      <c r="F7">
        <v>1</v>
      </c>
      <c r="G7" s="20">
        <v>150.44</v>
      </c>
      <c r="H7" s="20">
        <f>Tabla1[[#This Row],[Cantidad Vendida]]*Tabla1[[#This Row],[Precio Unitario (USD)]]</f>
        <v>150.44</v>
      </c>
      <c r="I7" s="21">
        <v>7.99</v>
      </c>
      <c r="J7" s="5">
        <f t="shared" si="1"/>
        <v>1202.0155999999999</v>
      </c>
      <c r="K7" t="str">
        <f>IF(Tabla1[[#This Row],[Venta Total (Q)]] = 0, "Sin ventas", "Con ventas")</f>
        <v>Con ventas</v>
      </c>
      <c r="L7" s="20">
        <f t="shared" si="0"/>
        <v>105.30799999999999</v>
      </c>
      <c r="M7" s="20">
        <f t="shared" si="2"/>
        <v>105.30799999999999</v>
      </c>
      <c r="N7" s="20">
        <f>Tabla1[[#This Row],[Venta Total (USD)]] - Tabla1[[#This Row],[Costo Total (USD)]]</f>
        <v>45.132000000000005</v>
      </c>
    </row>
    <row r="8" spans="1:16" x14ac:dyDescent="0.25">
      <c r="A8" t="s">
        <v>20</v>
      </c>
      <c r="B8" t="s">
        <v>11</v>
      </c>
      <c r="C8" t="s">
        <v>23</v>
      </c>
      <c r="D8">
        <v>2022</v>
      </c>
      <c r="E8">
        <v>2</v>
      </c>
      <c r="F8">
        <v>15</v>
      </c>
      <c r="G8" s="20">
        <v>365.52</v>
      </c>
      <c r="H8" s="20">
        <f>Tabla1[[#This Row],[Cantidad Vendida]]*Tabla1[[#This Row],[Precio Unitario (USD)]]</f>
        <v>5482.7999999999993</v>
      </c>
      <c r="I8" s="21">
        <v>8.42</v>
      </c>
      <c r="J8" s="5">
        <f t="shared" si="1"/>
        <v>46165.175999999992</v>
      </c>
      <c r="K8" t="str">
        <f>IF(Tabla1[[#This Row],[Venta Total (Q)]] = 0, "Sin ventas", "Con ventas")</f>
        <v>Con ventas</v>
      </c>
      <c r="L8" s="20">
        <f t="shared" si="0"/>
        <v>255.86399999999998</v>
      </c>
      <c r="M8" s="20">
        <f t="shared" si="2"/>
        <v>3837.9599999999996</v>
      </c>
      <c r="N8" s="20">
        <f>Tabla1[[#This Row],[Venta Total (USD)]] - Tabla1[[#This Row],[Costo Total (USD)]]</f>
        <v>1644.8399999999997</v>
      </c>
    </row>
    <row r="9" spans="1:16" x14ac:dyDescent="0.25">
      <c r="A9" t="s">
        <v>15</v>
      </c>
      <c r="B9" t="s">
        <v>17</v>
      </c>
      <c r="C9" t="s">
        <v>18</v>
      </c>
      <c r="D9">
        <v>2023</v>
      </c>
      <c r="E9">
        <v>9</v>
      </c>
      <c r="F9">
        <v>17</v>
      </c>
      <c r="G9" s="20">
        <v>183.36</v>
      </c>
      <c r="H9" s="20">
        <f>Tabla1[[#This Row],[Cantidad Vendida]]*Tabla1[[#This Row],[Precio Unitario (USD)]]</f>
        <v>3117.1200000000003</v>
      </c>
      <c r="I9" s="21">
        <v>7.74</v>
      </c>
      <c r="J9" s="5">
        <f t="shared" si="1"/>
        <v>24126.508800000003</v>
      </c>
      <c r="K9" t="str">
        <f>IF(Tabla1[[#This Row],[Venta Total (Q)]] = 0, "Sin ventas", "Con ventas")</f>
        <v>Con ventas</v>
      </c>
      <c r="L9" s="20">
        <f t="shared" si="0"/>
        <v>128.352</v>
      </c>
      <c r="M9" s="20">
        <f t="shared" si="2"/>
        <v>2181.9839999999999</v>
      </c>
      <c r="N9" s="20">
        <f>Tabla1[[#This Row],[Venta Total (USD)]] - Tabla1[[#This Row],[Costo Total (USD)]]</f>
        <v>935.13600000000042</v>
      </c>
    </row>
    <row r="10" spans="1:16" x14ac:dyDescent="0.25">
      <c r="A10" t="s">
        <v>15</v>
      </c>
      <c r="B10" t="s">
        <v>21</v>
      </c>
      <c r="C10" t="s">
        <v>24</v>
      </c>
      <c r="D10">
        <v>2025</v>
      </c>
      <c r="E10">
        <v>8</v>
      </c>
      <c r="F10">
        <v>11</v>
      </c>
      <c r="G10" s="20">
        <v>436.39</v>
      </c>
      <c r="H10" s="20">
        <f>Tabla1[[#This Row],[Cantidad Vendida]]*Tabla1[[#This Row],[Precio Unitario (USD)]]</f>
        <v>4800.29</v>
      </c>
      <c r="I10" s="21">
        <v>8.2799999999999994</v>
      </c>
      <c r="J10" s="5">
        <f t="shared" si="1"/>
        <v>39746.4012</v>
      </c>
      <c r="K10" t="str">
        <f>IF(Tabla1[[#This Row],[Venta Total (Q)]] = 0, "Sin ventas", "Con ventas")</f>
        <v>Con ventas</v>
      </c>
      <c r="L10" s="20">
        <f t="shared" si="0"/>
        <v>305.47299999999996</v>
      </c>
      <c r="M10" s="20">
        <f t="shared" si="2"/>
        <v>3360.2029999999995</v>
      </c>
      <c r="N10" s="20">
        <f>Tabla1[[#This Row],[Venta Total (USD)]] - Tabla1[[#This Row],[Costo Total (USD)]]</f>
        <v>1440.0870000000004</v>
      </c>
    </row>
    <row r="11" spans="1:16" x14ac:dyDescent="0.25">
      <c r="A11" t="s">
        <v>15</v>
      </c>
      <c r="B11" t="s">
        <v>17</v>
      </c>
      <c r="C11" t="s">
        <v>18</v>
      </c>
      <c r="D11">
        <v>2022</v>
      </c>
      <c r="E11">
        <v>11</v>
      </c>
      <c r="F11">
        <v>16</v>
      </c>
      <c r="G11" s="20">
        <v>201</v>
      </c>
      <c r="H11" s="20">
        <f>Tabla1[[#This Row],[Cantidad Vendida]]*Tabla1[[#This Row],[Precio Unitario (USD)]]</f>
        <v>3216</v>
      </c>
      <c r="I11" s="21">
        <v>7.52</v>
      </c>
      <c r="J11" s="5">
        <f t="shared" si="1"/>
        <v>24184.32</v>
      </c>
      <c r="K11" t="str">
        <f>IF(Tabla1[[#This Row],[Venta Total (Q)]] = 0, "Sin ventas", "Con ventas")</f>
        <v>Con ventas</v>
      </c>
      <c r="L11" s="20">
        <f t="shared" si="0"/>
        <v>140.69999999999999</v>
      </c>
      <c r="M11" s="20">
        <f t="shared" si="2"/>
        <v>2251.1999999999998</v>
      </c>
      <c r="N11" s="20">
        <f>Tabla1[[#This Row],[Venta Total (USD)]] - Tabla1[[#This Row],[Costo Total (USD)]]</f>
        <v>964.80000000000018</v>
      </c>
    </row>
    <row r="12" spans="1:16" x14ac:dyDescent="0.25">
      <c r="A12" t="s">
        <v>15</v>
      </c>
      <c r="B12" t="s">
        <v>11</v>
      </c>
      <c r="C12" t="s">
        <v>25</v>
      </c>
      <c r="D12">
        <v>2022</v>
      </c>
      <c r="E12">
        <v>1</v>
      </c>
      <c r="F12">
        <v>15</v>
      </c>
      <c r="G12" s="20">
        <v>448.03</v>
      </c>
      <c r="H12" s="20">
        <f>Tabla1[[#This Row],[Cantidad Vendida]]*Tabla1[[#This Row],[Precio Unitario (USD)]]</f>
        <v>6720.45</v>
      </c>
      <c r="I12" s="21">
        <v>8.44</v>
      </c>
      <c r="J12" s="5">
        <f t="shared" si="1"/>
        <v>56720.597999999998</v>
      </c>
      <c r="K12" t="str">
        <f>IF(Tabla1[[#This Row],[Venta Total (Q)]] = 0, "Sin ventas", "Con ventas")</f>
        <v>Con ventas</v>
      </c>
      <c r="L12" s="20">
        <f t="shared" si="0"/>
        <v>313.62099999999998</v>
      </c>
      <c r="M12" s="20">
        <f t="shared" si="2"/>
        <v>4704.3149999999996</v>
      </c>
      <c r="N12" s="20">
        <f>Tabla1[[#This Row],[Venta Total (USD)]] - Tabla1[[#This Row],[Costo Total (USD)]]</f>
        <v>2016.1350000000002</v>
      </c>
    </row>
    <row r="13" spans="1:16" x14ac:dyDescent="0.25">
      <c r="A13" t="s">
        <v>10</v>
      </c>
      <c r="B13" t="s">
        <v>17</v>
      </c>
      <c r="C13" t="s">
        <v>26</v>
      </c>
      <c r="D13">
        <v>2025</v>
      </c>
      <c r="E13">
        <v>1</v>
      </c>
      <c r="F13">
        <v>17</v>
      </c>
      <c r="G13" s="20">
        <v>40.24</v>
      </c>
      <c r="H13" s="20">
        <f>Tabla1[[#This Row],[Cantidad Vendida]]*Tabla1[[#This Row],[Precio Unitario (USD)]]</f>
        <v>684.08</v>
      </c>
      <c r="I13" s="21">
        <v>8.34</v>
      </c>
      <c r="J13" s="5">
        <f t="shared" si="1"/>
        <v>5705.2272000000003</v>
      </c>
      <c r="K13" t="str">
        <f>IF(Tabla1[[#This Row],[Venta Total (Q)]] = 0, "Sin ventas", "Con ventas")</f>
        <v>Con ventas</v>
      </c>
      <c r="L13" s="20">
        <f t="shared" si="0"/>
        <v>28.167999999999999</v>
      </c>
      <c r="M13" s="20">
        <f t="shared" si="2"/>
        <v>478.85599999999999</v>
      </c>
      <c r="N13" s="20">
        <f>Tabla1[[#This Row],[Venta Total (USD)]] - Tabla1[[#This Row],[Costo Total (USD)]]</f>
        <v>205.22400000000005</v>
      </c>
    </row>
    <row r="14" spans="1:16" x14ac:dyDescent="0.25">
      <c r="A14" t="s">
        <v>16</v>
      </c>
      <c r="B14" t="s">
        <v>17</v>
      </c>
      <c r="C14" t="s">
        <v>18</v>
      </c>
      <c r="D14">
        <v>2025</v>
      </c>
      <c r="E14">
        <v>12</v>
      </c>
      <c r="F14">
        <v>9</v>
      </c>
      <c r="G14" s="20">
        <v>342.35</v>
      </c>
      <c r="H14" s="20">
        <f>Tabla1[[#This Row],[Cantidad Vendida]]*Tabla1[[#This Row],[Precio Unitario (USD)]]</f>
        <v>3081.15</v>
      </c>
      <c r="I14" s="21">
        <v>8.11</v>
      </c>
      <c r="J14" s="5">
        <f t="shared" si="1"/>
        <v>24988.126499999998</v>
      </c>
      <c r="K14" t="str">
        <f>IF(Tabla1[[#This Row],[Venta Total (Q)]] = 0, "Sin ventas", "Con ventas")</f>
        <v>Con ventas</v>
      </c>
      <c r="L14" s="20">
        <f t="shared" si="0"/>
        <v>239.64500000000001</v>
      </c>
      <c r="M14" s="20">
        <f t="shared" si="2"/>
        <v>2156.8050000000003</v>
      </c>
      <c r="N14" s="20">
        <f>Tabla1[[#This Row],[Venta Total (USD)]] - Tabla1[[#This Row],[Costo Total (USD)]]</f>
        <v>924.3449999999998</v>
      </c>
    </row>
    <row r="15" spans="1:16" x14ac:dyDescent="0.25">
      <c r="A15" t="s">
        <v>20</v>
      </c>
      <c r="B15" t="s">
        <v>13</v>
      </c>
      <c r="C15" t="s">
        <v>27</v>
      </c>
      <c r="D15">
        <v>2025</v>
      </c>
      <c r="E15">
        <v>6</v>
      </c>
      <c r="F15">
        <v>2</v>
      </c>
      <c r="G15" s="20">
        <v>313.08999999999997</v>
      </c>
      <c r="H15" s="20">
        <f>Tabla1[[#This Row],[Cantidad Vendida]]*Tabla1[[#This Row],[Precio Unitario (USD)]]</f>
        <v>626.17999999999995</v>
      </c>
      <c r="I15" s="21">
        <v>8.2100000000000009</v>
      </c>
      <c r="J15" s="5">
        <f t="shared" si="1"/>
        <v>5140.9377999999997</v>
      </c>
      <c r="K15" t="str">
        <f>IF(Tabla1[[#This Row],[Venta Total (Q)]] = 0, "Sin ventas", "Con ventas")</f>
        <v>Con ventas</v>
      </c>
      <c r="L15" s="20">
        <f t="shared" si="0"/>
        <v>219.16299999999998</v>
      </c>
      <c r="M15" s="20">
        <f t="shared" si="2"/>
        <v>438.32599999999996</v>
      </c>
      <c r="N15" s="20">
        <f>Tabla1[[#This Row],[Venta Total (USD)]] - Tabla1[[#This Row],[Costo Total (USD)]]</f>
        <v>187.85399999999998</v>
      </c>
    </row>
    <row r="16" spans="1:16" x14ac:dyDescent="0.25">
      <c r="A16" t="s">
        <v>16</v>
      </c>
      <c r="B16" t="s">
        <v>17</v>
      </c>
      <c r="C16" t="s">
        <v>19</v>
      </c>
      <c r="D16">
        <v>2022</v>
      </c>
      <c r="E16">
        <v>7</v>
      </c>
      <c r="F16">
        <v>13</v>
      </c>
      <c r="G16" s="20">
        <v>17.37</v>
      </c>
      <c r="H16" s="20">
        <f>Tabla1[[#This Row],[Cantidad Vendida]]*Tabla1[[#This Row],[Precio Unitario (USD)]]</f>
        <v>225.81</v>
      </c>
      <c r="I16" s="21">
        <v>8.17</v>
      </c>
      <c r="J16" s="5">
        <f t="shared" si="1"/>
        <v>1844.8677</v>
      </c>
      <c r="K16" t="str">
        <f>IF(Tabla1[[#This Row],[Venta Total (Q)]] = 0, "Sin ventas", "Con ventas")</f>
        <v>Con ventas</v>
      </c>
      <c r="L16" s="20">
        <f t="shared" si="0"/>
        <v>12.159000000000001</v>
      </c>
      <c r="M16" s="20">
        <f t="shared" si="2"/>
        <v>158.06700000000001</v>
      </c>
      <c r="N16" s="20">
        <f>Tabla1[[#This Row],[Venta Total (USD)]] - Tabla1[[#This Row],[Costo Total (USD)]]</f>
        <v>67.742999999999995</v>
      </c>
    </row>
    <row r="17" spans="1:14" x14ac:dyDescent="0.25">
      <c r="A17" t="s">
        <v>15</v>
      </c>
      <c r="B17" t="s">
        <v>28</v>
      </c>
      <c r="C17" t="s">
        <v>29</v>
      </c>
      <c r="D17">
        <v>2022</v>
      </c>
      <c r="E17">
        <v>3</v>
      </c>
      <c r="F17">
        <v>9</v>
      </c>
      <c r="G17" s="20">
        <v>132.22</v>
      </c>
      <c r="H17" s="20">
        <f>Tabla1[[#This Row],[Cantidad Vendida]]*Tabla1[[#This Row],[Precio Unitario (USD)]]</f>
        <v>1189.98</v>
      </c>
      <c r="I17" s="21">
        <v>8.49</v>
      </c>
      <c r="J17" s="5">
        <f t="shared" si="1"/>
        <v>10102.930200000001</v>
      </c>
      <c r="K17" t="str">
        <f>IF(Tabla1[[#This Row],[Venta Total (Q)]] = 0, "Sin ventas", "Con ventas")</f>
        <v>Con ventas</v>
      </c>
      <c r="L17" s="20">
        <f t="shared" si="0"/>
        <v>92.553999999999988</v>
      </c>
      <c r="M17" s="20">
        <f t="shared" si="2"/>
        <v>832.98599999999988</v>
      </c>
      <c r="N17" s="20">
        <f>Tabla1[[#This Row],[Venta Total (USD)]] - Tabla1[[#This Row],[Costo Total (USD)]]</f>
        <v>356.99400000000014</v>
      </c>
    </row>
    <row r="18" spans="1:14" x14ac:dyDescent="0.25">
      <c r="A18" t="s">
        <v>15</v>
      </c>
      <c r="B18" t="s">
        <v>13</v>
      </c>
      <c r="C18" t="s">
        <v>14</v>
      </c>
      <c r="D18">
        <v>2024</v>
      </c>
      <c r="E18">
        <v>8</v>
      </c>
      <c r="F18">
        <v>11</v>
      </c>
      <c r="G18" s="20">
        <v>11.25</v>
      </c>
      <c r="H18" s="20">
        <f>Tabla1[[#This Row],[Cantidad Vendida]]*Tabla1[[#This Row],[Precio Unitario (USD)]]</f>
        <v>123.75</v>
      </c>
      <c r="I18" s="21">
        <v>7.86</v>
      </c>
      <c r="J18" s="5">
        <f t="shared" si="1"/>
        <v>972.67500000000007</v>
      </c>
      <c r="K18" t="str">
        <f>IF(Tabla1[[#This Row],[Venta Total (Q)]] = 0, "Sin ventas", "Con ventas")</f>
        <v>Con ventas</v>
      </c>
      <c r="L18" s="20">
        <f t="shared" si="0"/>
        <v>7.8749999999999991</v>
      </c>
      <c r="M18" s="20">
        <f t="shared" si="2"/>
        <v>86.624999999999986</v>
      </c>
      <c r="N18" s="20">
        <f>Tabla1[[#This Row],[Venta Total (USD)]] - Tabla1[[#This Row],[Costo Total (USD)]]</f>
        <v>37.125000000000014</v>
      </c>
    </row>
    <row r="19" spans="1:14" x14ac:dyDescent="0.25">
      <c r="A19" t="s">
        <v>10</v>
      </c>
      <c r="B19" t="s">
        <v>13</v>
      </c>
      <c r="C19" t="s">
        <v>30</v>
      </c>
      <c r="D19">
        <v>2023</v>
      </c>
      <c r="E19">
        <v>11</v>
      </c>
      <c r="F19">
        <v>17</v>
      </c>
      <c r="G19" s="20">
        <v>367.14</v>
      </c>
      <c r="H19" s="20">
        <f>Tabla1[[#This Row],[Cantidad Vendida]]*Tabla1[[#This Row],[Precio Unitario (USD)]]</f>
        <v>6241.38</v>
      </c>
      <c r="I19" s="21">
        <v>7.61</v>
      </c>
      <c r="J19" s="5">
        <f t="shared" si="1"/>
        <v>47496.9018</v>
      </c>
      <c r="K19" t="str">
        <f>IF(Tabla1[[#This Row],[Venta Total (Q)]] = 0, "Sin ventas", "Con ventas")</f>
        <v>Con ventas</v>
      </c>
      <c r="L19" s="20">
        <f t="shared" si="0"/>
        <v>256.99799999999999</v>
      </c>
      <c r="M19" s="20">
        <f t="shared" si="2"/>
        <v>4368.9659999999994</v>
      </c>
      <c r="N19" s="20">
        <f>Tabla1[[#This Row],[Venta Total (USD)]] - Tabla1[[#This Row],[Costo Total (USD)]]</f>
        <v>1872.4140000000007</v>
      </c>
    </row>
    <row r="20" spans="1:14" x14ac:dyDescent="0.25">
      <c r="A20" t="s">
        <v>31</v>
      </c>
      <c r="B20" t="s">
        <v>28</v>
      </c>
      <c r="C20" t="s">
        <v>29</v>
      </c>
      <c r="D20">
        <v>2024</v>
      </c>
      <c r="E20">
        <v>3</v>
      </c>
      <c r="F20">
        <v>11</v>
      </c>
      <c r="G20" s="20">
        <v>58.12</v>
      </c>
      <c r="H20" s="20">
        <f>Tabla1[[#This Row],[Cantidad Vendida]]*Tabla1[[#This Row],[Precio Unitario (USD)]]</f>
        <v>639.31999999999994</v>
      </c>
      <c r="I20" s="21">
        <v>7.84</v>
      </c>
      <c r="J20" s="5">
        <f t="shared" si="1"/>
        <v>5012.2687999999998</v>
      </c>
      <c r="K20" t="str">
        <f>IF(Tabla1[[#This Row],[Venta Total (Q)]] = 0, "Sin ventas", "Con ventas")</f>
        <v>Con ventas</v>
      </c>
      <c r="L20" s="20">
        <f t="shared" si="0"/>
        <v>40.683999999999997</v>
      </c>
      <c r="M20" s="20">
        <f t="shared" si="2"/>
        <v>447.524</v>
      </c>
      <c r="N20" s="20">
        <f>Tabla1[[#This Row],[Venta Total (USD)]] - Tabla1[[#This Row],[Costo Total (USD)]]</f>
        <v>191.79599999999994</v>
      </c>
    </row>
    <row r="21" spans="1:14" x14ac:dyDescent="0.25">
      <c r="A21" t="s">
        <v>31</v>
      </c>
      <c r="B21" t="s">
        <v>28</v>
      </c>
      <c r="C21" t="s">
        <v>29</v>
      </c>
      <c r="D21">
        <v>2022</v>
      </c>
      <c r="E21">
        <v>7</v>
      </c>
      <c r="F21">
        <v>19</v>
      </c>
      <c r="G21" s="20">
        <v>12.24</v>
      </c>
      <c r="H21" s="20">
        <f>Tabla1[[#This Row],[Cantidad Vendida]]*Tabla1[[#This Row],[Precio Unitario (USD)]]</f>
        <v>232.56</v>
      </c>
      <c r="I21" s="21">
        <v>8.2799999999999994</v>
      </c>
      <c r="J21" s="5">
        <f t="shared" si="1"/>
        <v>1925.5967999999998</v>
      </c>
      <c r="K21" t="str">
        <f>IF(Tabla1[[#This Row],[Venta Total (Q)]] = 0, "Sin ventas", "Con ventas")</f>
        <v>Con ventas</v>
      </c>
      <c r="L21" s="20">
        <f t="shared" si="0"/>
        <v>8.5679999999999996</v>
      </c>
      <c r="M21" s="20">
        <f t="shared" si="2"/>
        <v>162.792</v>
      </c>
      <c r="N21" s="20">
        <f>Tabla1[[#This Row],[Venta Total (USD)]] - Tabla1[[#This Row],[Costo Total (USD)]]</f>
        <v>69.768000000000001</v>
      </c>
    </row>
    <row r="22" spans="1:14" x14ac:dyDescent="0.25">
      <c r="A22" t="s">
        <v>10</v>
      </c>
      <c r="B22" t="s">
        <v>17</v>
      </c>
      <c r="C22" t="s">
        <v>18</v>
      </c>
      <c r="D22">
        <v>2023</v>
      </c>
      <c r="E22">
        <v>10</v>
      </c>
      <c r="F22">
        <v>18</v>
      </c>
      <c r="G22" s="20">
        <v>279.51</v>
      </c>
      <c r="H22" s="20">
        <f>Tabla1[[#This Row],[Cantidad Vendida]]*Tabla1[[#This Row],[Precio Unitario (USD)]]</f>
        <v>5031.18</v>
      </c>
      <c r="I22" s="21">
        <v>8.25</v>
      </c>
      <c r="J22" s="5">
        <f t="shared" si="1"/>
        <v>41507.235000000001</v>
      </c>
      <c r="K22" t="str">
        <f>IF(Tabla1[[#This Row],[Venta Total (Q)]] = 0, "Sin ventas", "Con ventas")</f>
        <v>Con ventas</v>
      </c>
      <c r="L22" s="20">
        <f t="shared" si="0"/>
        <v>195.65699999999998</v>
      </c>
      <c r="M22" s="20">
        <f t="shared" si="2"/>
        <v>3521.8259999999996</v>
      </c>
      <c r="N22" s="20">
        <f>Tabla1[[#This Row],[Venta Total (USD)]] - Tabla1[[#This Row],[Costo Total (USD)]]</f>
        <v>1509.3540000000007</v>
      </c>
    </row>
    <row r="23" spans="1:14" x14ac:dyDescent="0.25">
      <c r="A23" t="s">
        <v>15</v>
      </c>
      <c r="B23" t="s">
        <v>17</v>
      </c>
      <c r="C23" t="s">
        <v>18</v>
      </c>
      <c r="D23">
        <v>2022</v>
      </c>
      <c r="E23">
        <v>9</v>
      </c>
      <c r="F23">
        <v>15</v>
      </c>
      <c r="G23" s="20">
        <v>297.70999999999998</v>
      </c>
      <c r="H23" s="20">
        <f>Tabla1[[#This Row],[Cantidad Vendida]]*Tabla1[[#This Row],[Precio Unitario (USD)]]</f>
        <v>4465.6499999999996</v>
      </c>
      <c r="I23" s="21">
        <v>8.33</v>
      </c>
      <c r="J23" s="5">
        <f t="shared" si="1"/>
        <v>37198.864499999996</v>
      </c>
      <c r="K23" t="str">
        <f>IF(Tabla1[[#This Row],[Venta Total (Q)]] = 0, "Sin ventas", "Con ventas")</f>
        <v>Con ventas</v>
      </c>
      <c r="L23" s="20">
        <f t="shared" si="0"/>
        <v>208.39699999999996</v>
      </c>
      <c r="M23" s="20">
        <f t="shared" si="2"/>
        <v>3125.9549999999995</v>
      </c>
      <c r="N23" s="20">
        <f>Tabla1[[#This Row],[Venta Total (USD)]] - Tabla1[[#This Row],[Costo Total (USD)]]</f>
        <v>1339.6950000000002</v>
      </c>
    </row>
    <row r="24" spans="1:14" x14ac:dyDescent="0.25">
      <c r="A24" t="s">
        <v>31</v>
      </c>
      <c r="B24" t="s">
        <v>13</v>
      </c>
      <c r="C24" t="s">
        <v>27</v>
      </c>
      <c r="D24">
        <v>2025</v>
      </c>
      <c r="E24">
        <v>1</v>
      </c>
      <c r="F24">
        <v>9</v>
      </c>
      <c r="G24" s="20">
        <v>175.15</v>
      </c>
      <c r="H24" s="20">
        <f>Tabla1[[#This Row],[Cantidad Vendida]]*Tabla1[[#This Row],[Precio Unitario (USD)]]</f>
        <v>1576.3500000000001</v>
      </c>
      <c r="I24" s="21">
        <v>8.26</v>
      </c>
      <c r="J24" s="5">
        <f t="shared" si="1"/>
        <v>13020.651000000002</v>
      </c>
      <c r="K24" t="str">
        <f>IF(Tabla1[[#This Row],[Venta Total (Q)]] = 0, "Sin ventas", "Con ventas")</f>
        <v>Con ventas</v>
      </c>
      <c r="L24" s="20">
        <f t="shared" si="0"/>
        <v>122.60499999999999</v>
      </c>
      <c r="M24" s="20">
        <f t="shared" si="2"/>
        <v>1103.4449999999999</v>
      </c>
      <c r="N24" s="20">
        <f>Tabla1[[#This Row],[Venta Total (USD)]] - Tabla1[[#This Row],[Costo Total (USD)]]</f>
        <v>472.9050000000002</v>
      </c>
    </row>
    <row r="25" spans="1:14" x14ac:dyDescent="0.25">
      <c r="A25" t="s">
        <v>15</v>
      </c>
      <c r="B25" t="s">
        <v>21</v>
      </c>
      <c r="C25" t="s">
        <v>32</v>
      </c>
      <c r="D25">
        <v>2025</v>
      </c>
      <c r="E25">
        <v>12</v>
      </c>
      <c r="F25">
        <v>19</v>
      </c>
      <c r="G25" s="20">
        <v>394.11</v>
      </c>
      <c r="H25" s="20">
        <f>Tabla1[[#This Row],[Cantidad Vendida]]*Tabla1[[#This Row],[Precio Unitario (USD)]]</f>
        <v>7488.09</v>
      </c>
      <c r="I25" s="21">
        <v>7.6</v>
      </c>
      <c r="J25" s="5">
        <f t="shared" si="1"/>
        <v>56909.483999999997</v>
      </c>
      <c r="K25" t="str">
        <f>IF(Tabla1[[#This Row],[Venta Total (Q)]] = 0, "Sin ventas", "Con ventas")</f>
        <v>Con ventas</v>
      </c>
      <c r="L25" s="20">
        <f t="shared" si="0"/>
        <v>275.87700000000001</v>
      </c>
      <c r="M25" s="20">
        <f t="shared" si="2"/>
        <v>5241.6630000000005</v>
      </c>
      <c r="N25" s="20">
        <f>Tabla1[[#This Row],[Venta Total (USD)]] - Tabla1[[#This Row],[Costo Total (USD)]]</f>
        <v>2246.4269999999997</v>
      </c>
    </row>
    <row r="26" spans="1:14" x14ac:dyDescent="0.25">
      <c r="A26" t="s">
        <v>31</v>
      </c>
      <c r="B26" t="s">
        <v>13</v>
      </c>
      <c r="C26" t="s">
        <v>14</v>
      </c>
      <c r="D26">
        <v>2022</v>
      </c>
      <c r="E26">
        <v>12</v>
      </c>
      <c r="F26">
        <v>15</v>
      </c>
      <c r="G26" s="20">
        <v>272.3</v>
      </c>
      <c r="H26" s="20">
        <f>Tabla1[[#This Row],[Cantidad Vendida]]*Tabla1[[#This Row],[Precio Unitario (USD)]]</f>
        <v>4084.5</v>
      </c>
      <c r="I26" s="21">
        <v>8.3800000000000008</v>
      </c>
      <c r="J26" s="5">
        <f t="shared" si="1"/>
        <v>34228.11</v>
      </c>
      <c r="K26" t="str">
        <f>IF(Tabla1[[#This Row],[Venta Total (Q)]] = 0, "Sin ventas", "Con ventas")</f>
        <v>Con ventas</v>
      </c>
      <c r="L26" s="20">
        <f t="shared" si="0"/>
        <v>190.60999999999999</v>
      </c>
      <c r="M26" s="20">
        <f t="shared" si="2"/>
        <v>2859.1499999999996</v>
      </c>
      <c r="N26" s="20">
        <f>Tabla1[[#This Row],[Venta Total (USD)]] - Tabla1[[#This Row],[Costo Total (USD)]]</f>
        <v>1225.3500000000004</v>
      </c>
    </row>
    <row r="27" spans="1:14" x14ac:dyDescent="0.25">
      <c r="A27" t="s">
        <v>10</v>
      </c>
      <c r="B27" t="s">
        <v>13</v>
      </c>
      <c r="C27" t="s">
        <v>14</v>
      </c>
      <c r="D27">
        <v>2022</v>
      </c>
      <c r="E27">
        <v>6</v>
      </c>
      <c r="F27">
        <v>14</v>
      </c>
      <c r="G27" s="20">
        <v>120.77</v>
      </c>
      <c r="H27" s="20">
        <f>Tabla1[[#This Row],[Cantidad Vendida]]*Tabla1[[#This Row],[Precio Unitario (USD)]]</f>
        <v>1690.78</v>
      </c>
      <c r="I27" s="21">
        <v>8.24</v>
      </c>
      <c r="J27" s="5">
        <f t="shared" si="1"/>
        <v>13932.0272</v>
      </c>
      <c r="K27" t="str">
        <f>IF(Tabla1[[#This Row],[Venta Total (Q)]] = 0, "Sin ventas", "Con ventas")</f>
        <v>Con ventas</v>
      </c>
      <c r="L27" s="20">
        <f t="shared" si="0"/>
        <v>84.538999999999987</v>
      </c>
      <c r="M27" s="20">
        <f t="shared" si="2"/>
        <v>1183.5459999999998</v>
      </c>
      <c r="N27" s="20">
        <f>Tabla1[[#This Row],[Venta Total (USD)]] - Tabla1[[#This Row],[Costo Total (USD)]]</f>
        <v>507.23400000000015</v>
      </c>
    </row>
    <row r="28" spans="1:14" x14ac:dyDescent="0.25">
      <c r="A28" t="s">
        <v>10</v>
      </c>
      <c r="B28" t="s">
        <v>13</v>
      </c>
      <c r="C28" t="s">
        <v>14</v>
      </c>
      <c r="D28">
        <v>2023</v>
      </c>
      <c r="E28">
        <v>8</v>
      </c>
      <c r="F28">
        <v>16</v>
      </c>
      <c r="G28" s="20">
        <v>460.57</v>
      </c>
      <c r="H28" s="20">
        <f>Tabla1[[#This Row],[Cantidad Vendida]]*Tabla1[[#This Row],[Precio Unitario (USD)]]</f>
        <v>7369.12</v>
      </c>
      <c r="I28" s="21">
        <v>7.97</v>
      </c>
      <c r="J28" s="5">
        <f t="shared" si="1"/>
        <v>58731.886399999996</v>
      </c>
      <c r="K28" t="str">
        <f>IF(Tabla1[[#This Row],[Venta Total (Q)]] = 0, "Sin ventas", "Con ventas")</f>
        <v>Con ventas</v>
      </c>
      <c r="L28" s="20">
        <f t="shared" si="0"/>
        <v>322.399</v>
      </c>
      <c r="M28" s="20">
        <f t="shared" si="2"/>
        <v>5158.384</v>
      </c>
      <c r="N28" s="20">
        <f>Tabla1[[#This Row],[Venta Total (USD)]] - Tabla1[[#This Row],[Costo Total (USD)]]</f>
        <v>2210.7359999999999</v>
      </c>
    </row>
    <row r="29" spans="1:14" x14ac:dyDescent="0.25">
      <c r="A29" t="s">
        <v>10</v>
      </c>
      <c r="B29" t="s">
        <v>17</v>
      </c>
      <c r="C29" t="s">
        <v>33</v>
      </c>
      <c r="D29">
        <v>2025</v>
      </c>
      <c r="E29">
        <v>5</v>
      </c>
      <c r="F29">
        <v>15</v>
      </c>
      <c r="G29" s="20">
        <v>488.45</v>
      </c>
      <c r="H29" s="20">
        <f>Tabla1[[#This Row],[Cantidad Vendida]]*Tabla1[[#This Row],[Precio Unitario (USD)]]</f>
        <v>7326.75</v>
      </c>
      <c r="I29" s="21">
        <v>7.75</v>
      </c>
      <c r="J29" s="5">
        <f t="shared" si="1"/>
        <v>56782.3125</v>
      </c>
      <c r="K29" t="str">
        <f>IF(Tabla1[[#This Row],[Venta Total (Q)]] = 0, "Sin ventas", "Con ventas")</f>
        <v>Con ventas</v>
      </c>
      <c r="L29" s="20">
        <f t="shared" si="0"/>
        <v>341.91499999999996</v>
      </c>
      <c r="M29" s="20">
        <f t="shared" si="2"/>
        <v>5128.7249999999995</v>
      </c>
      <c r="N29" s="20">
        <f>Tabla1[[#This Row],[Venta Total (USD)]] - Tabla1[[#This Row],[Costo Total (USD)]]</f>
        <v>2198.0250000000005</v>
      </c>
    </row>
    <row r="30" spans="1:14" x14ac:dyDescent="0.25">
      <c r="A30" t="s">
        <v>20</v>
      </c>
      <c r="B30" t="s">
        <v>17</v>
      </c>
      <c r="C30" t="s">
        <v>19</v>
      </c>
      <c r="D30">
        <v>2025</v>
      </c>
      <c r="E30">
        <v>11</v>
      </c>
      <c r="F30">
        <v>6</v>
      </c>
      <c r="G30" s="20">
        <v>26.7</v>
      </c>
      <c r="H30" s="20">
        <f>Tabla1[[#This Row],[Cantidad Vendida]]*Tabla1[[#This Row],[Precio Unitario (USD)]]</f>
        <v>160.19999999999999</v>
      </c>
      <c r="I30" s="21">
        <v>8.08</v>
      </c>
      <c r="J30" s="5">
        <f t="shared" si="1"/>
        <v>1294.4159999999999</v>
      </c>
      <c r="K30" t="str">
        <f>IF(Tabla1[[#This Row],[Venta Total (Q)]] = 0, "Sin ventas", "Con ventas")</f>
        <v>Con ventas</v>
      </c>
      <c r="L30" s="20">
        <f t="shared" si="0"/>
        <v>18.689999999999998</v>
      </c>
      <c r="M30" s="20">
        <f t="shared" si="2"/>
        <v>112.13999999999999</v>
      </c>
      <c r="N30" s="20">
        <f>Tabla1[[#This Row],[Venta Total (USD)]] - Tabla1[[#This Row],[Costo Total (USD)]]</f>
        <v>48.06</v>
      </c>
    </row>
    <row r="31" spans="1:14" x14ac:dyDescent="0.25">
      <c r="A31" t="s">
        <v>20</v>
      </c>
      <c r="B31" t="s">
        <v>28</v>
      </c>
      <c r="C31" t="s">
        <v>29</v>
      </c>
      <c r="D31">
        <v>2025</v>
      </c>
      <c r="E31">
        <v>1</v>
      </c>
      <c r="F31">
        <v>11</v>
      </c>
      <c r="G31" s="20">
        <v>231.01</v>
      </c>
      <c r="H31" s="20">
        <f>Tabla1[[#This Row],[Cantidad Vendida]]*Tabla1[[#This Row],[Precio Unitario (USD)]]</f>
        <v>2541.1099999999997</v>
      </c>
      <c r="I31" s="21">
        <v>7.96</v>
      </c>
      <c r="J31" s="5">
        <f t="shared" si="1"/>
        <v>20227.235599999996</v>
      </c>
      <c r="K31" t="str">
        <f>IF(Tabla1[[#This Row],[Venta Total (Q)]] = 0, "Sin ventas", "Con ventas")</f>
        <v>Con ventas</v>
      </c>
      <c r="L31" s="20">
        <f t="shared" si="0"/>
        <v>161.70699999999999</v>
      </c>
      <c r="M31" s="20">
        <f t="shared" si="2"/>
        <v>1778.777</v>
      </c>
      <c r="N31" s="20">
        <f>Tabla1[[#This Row],[Venta Total (USD)]] - Tabla1[[#This Row],[Costo Total (USD)]]</f>
        <v>762.33299999999963</v>
      </c>
    </row>
    <row r="32" spans="1:14" x14ac:dyDescent="0.25">
      <c r="A32" t="s">
        <v>15</v>
      </c>
      <c r="B32" t="s">
        <v>17</v>
      </c>
      <c r="C32" t="s">
        <v>26</v>
      </c>
      <c r="D32">
        <v>2025</v>
      </c>
      <c r="E32">
        <v>7</v>
      </c>
      <c r="F32">
        <v>17</v>
      </c>
      <c r="G32" s="20">
        <v>381.79</v>
      </c>
      <c r="H32" s="20">
        <f>Tabla1[[#This Row],[Cantidad Vendida]]*Tabla1[[#This Row],[Precio Unitario (USD)]]</f>
        <v>6490.43</v>
      </c>
      <c r="I32" s="21">
        <v>7.67</v>
      </c>
      <c r="J32" s="5">
        <f t="shared" si="1"/>
        <v>49781.598100000003</v>
      </c>
      <c r="K32" t="str">
        <f>IF(Tabla1[[#This Row],[Venta Total (Q)]] = 0, "Sin ventas", "Con ventas")</f>
        <v>Con ventas</v>
      </c>
      <c r="L32" s="20">
        <f t="shared" si="0"/>
        <v>267.25299999999999</v>
      </c>
      <c r="M32" s="20">
        <f t="shared" si="2"/>
        <v>4543.3009999999995</v>
      </c>
      <c r="N32" s="20">
        <f>Tabla1[[#This Row],[Venta Total (USD)]] - Tabla1[[#This Row],[Costo Total (USD)]]</f>
        <v>1947.1290000000008</v>
      </c>
    </row>
    <row r="33" spans="1:14" x14ac:dyDescent="0.25">
      <c r="A33" t="s">
        <v>15</v>
      </c>
      <c r="B33" t="s">
        <v>17</v>
      </c>
      <c r="C33" t="s">
        <v>26</v>
      </c>
      <c r="D33">
        <v>2024</v>
      </c>
      <c r="E33">
        <v>12</v>
      </c>
      <c r="F33">
        <v>19</v>
      </c>
      <c r="G33" s="20">
        <v>239.54</v>
      </c>
      <c r="H33" s="20">
        <f>Tabla1[[#This Row],[Cantidad Vendida]]*Tabla1[[#This Row],[Precio Unitario (USD)]]</f>
        <v>4551.26</v>
      </c>
      <c r="I33" s="21">
        <v>7.58</v>
      </c>
      <c r="J33" s="5">
        <f t="shared" si="1"/>
        <v>34498.550800000005</v>
      </c>
      <c r="K33" t="str">
        <f>IF(Tabla1[[#This Row],[Venta Total (Q)]] = 0, "Sin ventas", "Con ventas")</f>
        <v>Con ventas</v>
      </c>
      <c r="L33" s="20">
        <f t="shared" si="0"/>
        <v>167.678</v>
      </c>
      <c r="M33" s="20">
        <f t="shared" si="2"/>
        <v>3185.8820000000001</v>
      </c>
      <c r="N33" s="20">
        <f>Tabla1[[#This Row],[Venta Total (USD)]] - Tabla1[[#This Row],[Costo Total (USD)]]</f>
        <v>1365.3780000000002</v>
      </c>
    </row>
    <row r="34" spans="1:14" x14ac:dyDescent="0.25">
      <c r="A34" t="s">
        <v>10</v>
      </c>
      <c r="B34" t="s">
        <v>21</v>
      </c>
      <c r="C34" t="s">
        <v>34</v>
      </c>
      <c r="D34">
        <v>2022</v>
      </c>
      <c r="E34">
        <v>12</v>
      </c>
      <c r="F34">
        <v>13</v>
      </c>
      <c r="G34" s="20">
        <v>344.35</v>
      </c>
      <c r="H34" s="20">
        <f>Tabla1[[#This Row],[Cantidad Vendida]]*Tabla1[[#This Row],[Precio Unitario (USD)]]</f>
        <v>4476.55</v>
      </c>
      <c r="I34" s="21">
        <v>7.82</v>
      </c>
      <c r="J34" s="5">
        <f t="shared" si="1"/>
        <v>35006.620999999999</v>
      </c>
      <c r="K34" t="str">
        <f>IF(Tabla1[[#This Row],[Venta Total (Q)]] = 0, "Sin ventas", "Con ventas")</f>
        <v>Con ventas</v>
      </c>
      <c r="L34" s="20">
        <f t="shared" si="0"/>
        <v>241.04499999999999</v>
      </c>
      <c r="M34" s="20">
        <f t="shared" si="2"/>
        <v>3133.585</v>
      </c>
      <c r="N34" s="20">
        <f>Tabla1[[#This Row],[Venta Total (USD)]] - Tabla1[[#This Row],[Costo Total (USD)]]</f>
        <v>1342.9650000000001</v>
      </c>
    </row>
    <row r="35" spans="1:14" x14ac:dyDescent="0.25">
      <c r="A35" t="s">
        <v>35</v>
      </c>
      <c r="B35" t="s">
        <v>13</v>
      </c>
      <c r="C35" t="s">
        <v>14</v>
      </c>
      <c r="D35">
        <v>2024</v>
      </c>
      <c r="E35">
        <v>7</v>
      </c>
      <c r="F35">
        <v>4</v>
      </c>
      <c r="G35" s="20">
        <v>158.94999999999999</v>
      </c>
      <c r="H35" s="20">
        <f>Tabla1[[#This Row],[Cantidad Vendida]]*Tabla1[[#This Row],[Precio Unitario (USD)]]</f>
        <v>635.79999999999995</v>
      </c>
      <c r="I35" s="21">
        <v>8.19</v>
      </c>
      <c r="J35" s="5">
        <f t="shared" si="1"/>
        <v>5207.2019999999993</v>
      </c>
      <c r="K35" t="str">
        <f>IF(Tabla1[[#This Row],[Venta Total (Q)]] = 0, "Sin ventas", "Con ventas")</f>
        <v>Con ventas</v>
      </c>
      <c r="L35" s="20">
        <f t="shared" si="0"/>
        <v>111.26499999999999</v>
      </c>
      <c r="M35" s="20">
        <f t="shared" si="2"/>
        <v>445.05999999999995</v>
      </c>
      <c r="N35" s="20">
        <f>Tabla1[[#This Row],[Venta Total (USD)]] - Tabla1[[#This Row],[Costo Total (USD)]]</f>
        <v>190.74</v>
      </c>
    </row>
    <row r="36" spans="1:14" x14ac:dyDescent="0.25">
      <c r="A36" t="s">
        <v>10</v>
      </c>
      <c r="B36" t="s">
        <v>13</v>
      </c>
      <c r="C36" t="s">
        <v>14</v>
      </c>
      <c r="D36">
        <v>2024</v>
      </c>
      <c r="E36">
        <v>5</v>
      </c>
      <c r="F36">
        <v>5</v>
      </c>
      <c r="G36" s="20">
        <v>230.11</v>
      </c>
      <c r="H36" s="20">
        <f>Tabla1[[#This Row],[Cantidad Vendida]]*Tabla1[[#This Row],[Precio Unitario (USD)]]</f>
        <v>1150.5500000000002</v>
      </c>
      <c r="I36" s="21">
        <v>8.01</v>
      </c>
      <c r="J36" s="5">
        <f t="shared" si="1"/>
        <v>9215.9055000000008</v>
      </c>
      <c r="K36" t="str">
        <f>IF(Tabla1[[#This Row],[Venta Total (Q)]] = 0, "Sin ventas", "Con ventas")</f>
        <v>Con ventas</v>
      </c>
      <c r="L36" s="20">
        <f t="shared" si="0"/>
        <v>161.077</v>
      </c>
      <c r="M36" s="20">
        <f t="shared" si="2"/>
        <v>805.38499999999999</v>
      </c>
      <c r="N36" s="20">
        <f>Tabla1[[#This Row],[Venta Total (USD)]] - Tabla1[[#This Row],[Costo Total (USD)]]</f>
        <v>345.16500000000019</v>
      </c>
    </row>
    <row r="37" spans="1:14" x14ac:dyDescent="0.25">
      <c r="A37" t="s">
        <v>10</v>
      </c>
      <c r="B37" t="s">
        <v>17</v>
      </c>
      <c r="C37" t="s">
        <v>33</v>
      </c>
      <c r="D37">
        <v>2023</v>
      </c>
      <c r="E37">
        <v>4</v>
      </c>
      <c r="F37">
        <v>13</v>
      </c>
      <c r="G37" s="20">
        <v>490.36</v>
      </c>
      <c r="H37" s="20">
        <f>Tabla1[[#This Row],[Cantidad Vendida]]*Tabla1[[#This Row],[Precio Unitario (USD)]]</f>
        <v>6374.68</v>
      </c>
      <c r="I37" s="21">
        <v>7.72</v>
      </c>
      <c r="J37" s="5">
        <f t="shared" si="1"/>
        <v>49212.529600000002</v>
      </c>
      <c r="K37" t="str">
        <f>IF(Tabla1[[#This Row],[Venta Total (Q)]] = 0, "Sin ventas", "Con ventas")</f>
        <v>Con ventas</v>
      </c>
      <c r="L37" s="20">
        <f t="shared" si="0"/>
        <v>343.25200000000001</v>
      </c>
      <c r="M37" s="20">
        <f t="shared" si="2"/>
        <v>4462.2759999999998</v>
      </c>
      <c r="N37" s="20">
        <f>Tabla1[[#This Row],[Venta Total (USD)]] - Tabla1[[#This Row],[Costo Total (USD)]]</f>
        <v>1912.4040000000005</v>
      </c>
    </row>
    <row r="38" spans="1:14" x14ac:dyDescent="0.25">
      <c r="A38" t="s">
        <v>15</v>
      </c>
      <c r="B38" t="s">
        <v>17</v>
      </c>
      <c r="C38" t="s">
        <v>26</v>
      </c>
      <c r="D38">
        <v>2025</v>
      </c>
      <c r="E38">
        <v>12</v>
      </c>
      <c r="F38">
        <v>16</v>
      </c>
      <c r="G38" s="20">
        <v>389.11</v>
      </c>
      <c r="H38" s="20">
        <f>Tabla1[[#This Row],[Cantidad Vendida]]*Tabla1[[#This Row],[Precio Unitario (USD)]]</f>
        <v>6225.76</v>
      </c>
      <c r="I38" s="21">
        <v>7.82</v>
      </c>
      <c r="J38" s="5">
        <f t="shared" si="1"/>
        <v>48685.443200000002</v>
      </c>
      <c r="K38" t="str">
        <f>IF(Tabla1[[#This Row],[Venta Total (Q)]] = 0, "Sin ventas", "Con ventas")</f>
        <v>Con ventas</v>
      </c>
      <c r="L38" s="20">
        <f t="shared" si="0"/>
        <v>272.37700000000001</v>
      </c>
      <c r="M38" s="20">
        <f t="shared" si="2"/>
        <v>4358.0320000000002</v>
      </c>
      <c r="N38" s="20">
        <f>Tabla1[[#This Row],[Venta Total (USD)]] - Tabla1[[#This Row],[Costo Total (USD)]]</f>
        <v>1867.7280000000001</v>
      </c>
    </row>
    <row r="39" spans="1:14" x14ac:dyDescent="0.25">
      <c r="A39" t="s">
        <v>35</v>
      </c>
      <c r="B39" t="s">
        <v>13</v>
      </c>
      <c r="C39" t="s">
        <v>36</v>
      </c>
      <c r="D39">
        <v>2025</v>
      </c>
      <c r="E39">
        <v>6</v>
      </c>
      <c r="F39">
        <v>11</v>
      </c>
      <c r="G39" s="20">
        <v>57.26</v>
      </c>
      <c r="H39" s="20">
        <f>Tabla1[[#This Row],[Cantidad Vendida]]*Tabla1[[#This Row],[Precio Unitario (USD)]]</f>
        <v>629.86</v>
      </c>
      <c r="I39" s="21">
        <v>7.63</v>
      </c>
      <c r="J39" s="5">
        <f t="shared" si="1"/>
        <v>4805.8317999999999</v>
      </c>
      <c r="K39" t="str">
        <f>IF(Tabla1[[#This Row],[Venta Total (Q)]] = 0, "Sin ventas", "Con ventas")</f>
        <v>Con ventas</v>
      </c>
      <c r="L39" s="20">
        <f t="shared" si="0"/>
        <v>40.081999999999994</v>
      </c>
      <c r="M39" s="20">
        <f t="shared" si="2"/>
        <v>440.90199999999993</v>
      </c>
      <c r="N39" s="20">
        <f>Tabla1[[#This Row],[Venta Total (USD)]] - Tabla1[[#This Row],[Costo Total (USD)]]</f>
        <v>188.95800000000008</v>
      </c>
    </row>
    <row r="40" spans="1:14" x14ac:dyDescent="0.25">
      <c r="A40" t="s">
        <v>10</v>
      </c>
      <c r="B40" t="s">
        <v>21</v>
      </c>
      <c r="C40" t="s">
        <v>32</v>
      </c>
      <c r="D40">
        <v>2023</v>
      </c>
      <c r="E40">
        <v>12</v>
      </c>
      <c r="F40">
        <v>17</v>
      </c>
      <c r="G40" s="20">
        <v>354.03</v>
      </c>
      <c r="H40" s="20">
        <f>Tabla1[[#This Row],[Cantidad Vendida]]*Tabla1[[#This Row],[Precio Unitario (USD)]]</f>
        <v>6018.5099999999993</v>
      </c>
      <c r="I40" s="21">
        <v>7.76</v>
      </c>
      <c r="J40" s="5">
        <f t="shared" si="1"/>
        <v>46703.637599999995</v>
      </c>
      <c r="K40" t="str">
        <f>IF(Tabla1[[#This Row],[Venta Total (Q)]] = 0, "Sin ventas", "Con ventas")</f>
        <v>Con ventas</v>
      </c>
      <c r="L40" s="20">
        <f t="shared" si="0"/>
        <v>247.82099999999997</v>
      </c>
      <c r="M40" s="20">
        <f t="shared" si="2"/>
        <v>4212.9569999999994</v>
      </c>
      <c r="N40" s="20">
        <f>Tabla1[[#This Row],[Venta Total (USD)]] - Tabla1[[#This Row],[Costo Total (USD)]]</f>
        <v>1805.5529999999999</v>
      </c>
    </row>
    <row r="41" spans="1:14" x14ac:dyDescent="0.25">
      <c r="A41" t="s">
        <v>10</v>
      </c>
      <c r="B41" t="s">
        <v>17</v>
      </c>
      <c r="C41" t="s">
        <v>19</v>
      </c>
      <c r="D41">
        <v>2025</v>
      </c>
      <c r="E41">
        <v>3</v>
      </c>
      <c r="F41">
        <v>8</v>
      </c>
      <c r="G41" s="20">
        <v>422.47</v>
      </c>
      <c r="H41" s="20">
        <f>Tabla1[[#This Row],[Cantidad Vendida]]*Tabla1[[#This Row],[Precio Unitario (USD)]]</f>
        <v>3379.76</v>
      </c>
      <c r="I41" s="21">
        <v>7.99</v>
      </c>
      <c r="J41" s="5">
        <f t="shared" si="1"/>
        <v>27004.282400000004</v>
      </c>
      <c r="K41" t="str">
        <f>IF(Tabla1[[#This Row],[Venta Total (Q)]] = 0, "Sin ventas", "Con ventas")</f>
        <v>Con ventas</v>
      </c>
      <c r="L41" s="20">
        <f t="shared" si="0"/>
        <v>295.72899999999998</v>
      </c>
      <c r="M41" s="20">
        <f t="shared" si="2"/>
        <v>2365.8319999999999</v>
      </c>
      <c r="N41" s="20">
        <f>Tabla1[[#This Row],[Venta Total (USD)]] - Tabla1[[#This Row],[Costo Total (USD)]]</f>
        <v>1013.9280000000003</v>
      </c>
    </row>
    <row r="42" spans="1:14" x14ac:dyDescent="0.25">
      <c r="A42" t="s">
        <v>15</v>
      </c>
      <c r="B42" t="s">
        <v>21</v>
      </c>
      <c r="C42" t="s">
        <v>22</v>
      </c>
      <c r="D42">
        <v>2024</v>
      </c>
      <c r="E42">
        <v>10</v>
      </c>
      <c r="F42">
        <v>4</v>
      </c>
      <c r="G42" s="20">
        <v>407.54</v>
      </c>
      <c r="H42" s="20">
        <f>Tabla1[[#This Row],[Cantidad Vendida]]*Tabla1[[#This Row],[Precio Unitario (USD)]]</f>
        <v>1630.16</v>
      </c>
      <c r="I42" s="21">
        <v>7.54</v>
      </c>
      <c r="J42" s="5">
        <f t="shared" si="1"/>
        <v>12291.4064</v>
      </c>
      <c r="K42" t="str">
        <f>IF(Tabla1[[#This Row],[Venta Total (Q)]] = 0, "Sin ventas", "Con ventas")</f>
        <v>Con ventas</v>
      </c>
      <c r="L42" s="20">
        <f t="shared" si="0"/>
        <v>285.27800000000002</v>
      </c>
      <c r="M42" s="20">
        <f t="shared" si="2"/>
        <v>1141.1120000000001</v>
      </c>
      <c r="N42" s="20">
        <f>Tabla1[[#This Row],[Venta Total (USD)]] - Tabla1[[#This Row],[Costo Total (USD)]]</f>
        <v>489.048</v>
      </c>
    </row>
    <row r="43" spans="1:14" x14ac:dyDescent="0.25">
      <c r="A43" t="s">
        <v>20</v>
      </c>
      <c r="B43" t="s">
        <v>21</v>
      </c>
      <c r="C43" t="s">
        <v>32</v>
      </c>
      <c r="D43">
        <v>2024</v>
      </c>
      <c r="E43">
        <v>7</v>
      </c>
      <c r="F43">
        <v>11</v>
      </c>
      <c r="G43" s="20">
        <v>264.77</v>
      </c>
      <c r="H43" s="20">
        <f>Tabla1[[#This Row],[Cantidad Vendida]]*Tabla1[[#This Row],[Precio Unitario (USD)]]</f>
        <v>2912.47</v>
      </c>
      <c r="I43" s="21">
        <v>8.09</v>
      </c>
      <c r="J43" s="5">
        <f t="shared" si="1"/>
        <v>23561.882299999997</v>
      </c>
      <c r="K43" t="str">
        <f>IF(Tabla1[[#This Row],[Venta Total (Q)]] = 0, "Sin ventas", "Con ventas")</f>
        <v>Con ventas</v>
      </c>
      <c r="L43" s="20">
        <f t="shared" si="0"/>
        <v>185.33899999999997</v>
      </c>
      <c r="M43" s="20">
        <f t="shared" si="2"/>
        <v>2038.7289999999996</v>
      </c>
      <c r="N43" s="20">
        <f>Tabla1[[#This Row],[Venta Total (USD)]] - Tabla1[[#This Row],[Costo Total (USD)]]</f>
        <v>873.74100000000021</v>
      </c>
    </row>
    <row r="44" spans="1:14" x14ac:dyDescent="0.25">
      <c r="A44" t="s">
        <v>16</v>
      </c>
      <c r="B44" t="s">
        <v>13</v>
      </c>
      <c r="C44" t="s">
        <v>36</v>
      </c>
      <c r="D44">
        <v>2024</v>
      </c>
      <c r="E44">
        <v>7</v>
      </c>
      <c r="F44">
        <v>18</v>
      </c>
      <c r="G44" s="20">
        <v>466.34</v>
      </c>
      <c r="H44" s="20">
        <f>Tabla1[[#This Row],[Cantidad Vendida]]*Tabla1[[#This Row],[Precio Unitario (USD)]]</f>
        <v>8394.119999999999</v>
      </c>
      <c r="I44" s="21">
        <v>7.88</v>
      </c>
      <c r="J44" s="5">
        <f t="shared" si="1"/>
        <v>66145.665599999993</v>
      </c>
      <c r="K44" t="str">
        <f>IF(Tabla1[[#This Row],[Venta Total (Q)]] = 0, "Sin ventas", "Con ventas")</f>
        <v>Con ventas</v>
      </c>
      <c r="L44" s="20">
        <f t="shared" si="0"/>
        <v>326.43799999999999</v>
      </c>
      <c r="M44" s="20">
        <f t="shared" si="2"/>
        <v>5875.884</v>
      </c>
      <c r="N44" s="20">
        <f>Tabla1[[#This Row],[Venta Total (USD)]] - Tabla1[[#This Row],[Costo Total (USD)]]</f>
        <v>2518.235999999999</v>
      </c>
    </row>
    <row r="45" spans="1:14" x14ac:dyDescent="0.25">
      <c r="A45" t="s">
        <v>20</v>
      </c>
      <c r="B45" t="s">
        <v>17</v>
      </c>
      <c r="C45" t="s">
        <v>18</v>
      </c>
      <c r="D45">
        <v>2025</v>
      </c>
      <c r="E45">
        <v>12</v>
      </c>
      <c r="F45">
        <v>3</v>
      </c>
      <c r="G45" s="20">
        <v>339.14</v>
      </c>
      <c r="H45" s="20">
        <f>Tabla1[[#This Row],[Cantidad Vendida]]*Tabla1[[#This Row],[Precio Unitario (USD)]]</f>
        <v>1017.42</v>
      </c>
      <c r="I45" s="21">
        <v>7.67</v>
      </c>
      <c r="J45" s="5">
        <f t="shared" si="1"/>
        <v>7803.6113999999998</v>
      </c>
      <c r="K45" t="str">
        <f>IF(Tabla1[[#This Row],[Venta Total (Q)]] = 0, "Sin ventas", "Con ventas")</f>
        <v>Con ventas</v>
      </c>
      <c r="L45" s="20">
        <f t="shared" si="0"/>
        <v>237.39799999999997</v>
      </c>
      <c r="M45" s="20">
        <f t="shared" si="2"/>
        <v>712.19399999999996</v>
      </c>
      <c r="N45" s="20">
        <f>Tabla1[[#This Row],[Venta Total (USD)]] - Tabla1[[#This Row],[Costo Total (USD)]]</f>
        <v>305.226</v>
      </c>
    </row>
    <row r="46" spans="1:14" x14ac:dyDescent="0.25">
      <c r="A46" t="s">
        <v>10</v>
      </c>
      <c r="B46" t="s">
        <v>11</v>
      </c>
      <c r="C46" t="s">
        <v>12</v>
      </c>
      <c r="D46">
        <v>2022</v>
      </c>
      <c r="E46">
        <v>1</v>
      </c>
      <c r="F46">
        <v>13</v>
      </c>
      <c r="G46" s="20">
        <v>375.32</v>
      </c>
      <c r="H46" s="20">
        <f>Tabla1[[#This Row],[Cantidad Vendida]]*Tabla1[[#This Row],[Precio Unitario (USD)]]</f>
        <v>4879.16</v>
      </c>
      <c r="I46" s="21">
        <v>8.0399999999999991</v>
      </c>
      <c r="J46" s="5">
        <f t="shared" si="1"/>
        <v>39228.446399999993</v>
      </c>
      <c r="K46" t="str">
        <f>IF(Tabla1[[#This Row],[Venta Total (Q)]] = 0, "Sin ventas", "Con ventas")</f>
        <v>Con ventas</v>
      </c>
      <c r="L46" s="20">
        <f t="shared" si="0"/>
        <v>262.72399999999999</v>
      </c>
      <c r="M46" s="20">
        <f t="shared" si="2"/>
        <v>3415.4119999999998</v>
      </c>
      <c r="N46" s="20">
        <f>Tabla1[[#This Row],[Venta Total (USD)]] - Tabla1[[#This Row],[Costo Total (USD)]]</f>
        <v>1463.748</v>
      </c>
    </row>
    <row r="47" spans="1:14" x14ac:dyDescent="0.25">
      <c r="A47" t="s">
        <v>35</v>
      </c>
      <c r="B47" t="s">
        <v>13</v>
      </c>
      <c r="C47" t="s">
        <v>14</v>
      </c>
      <c r="D47">
        <v>2023</v>
      </c>
      <c r="E47">
        <v>9</v>
      </c>
      <c r="F47">
        <v>12</v>
      </c>
      <c r="G47" s="20">
        <v>454.24</v>
      </c>
      <c r="H47" s="20">
        <f>Tabla1[[#This Row],[Cantidad Vendida]]*Tabla1[[#This Row],[Precio Unitario (USD)]]</f>
        <v>5450.88</v>
      </c>
      <c r="I47" s="21">
        <v>8.5</v>
      </c>
      <c r="J47" s="5">
        <f t="shared" si="1"/>
        <v>46332.480000000003</v>
      </c>
      <c r="K47" t="str">
        <f>IF(Tabla1[[#This Row],[Venta Total (Q)]] = 0, "Sin ventas", "Con ventas")</f>
        <v>Con ventas</v>
      </c>
      <c r="L47" s="20">
        <f t="shared" si="0"/>
        <v>317.96799999999996</v>
      </c>
      <c r="M47" s="20">
        <f t="shared" si="2"/>
        <v>3815.6159999999995</v>
      </c>
      <c r="N47" s="20">
        <f>Tabla1[[#This Row],[Venta Total (USD)]] - Tabla1[[#This Row],[Costo Total (USD)]]</f>
        <v>1635.2640000000006</v>
      </c>
    </row>
    <row r="48" spans="1:14" x14ac:dyDescent="0.25">
      <c r="A48" t="s">
        <v>10</v>
      </c>
      <c r="B48" t="s">
        <v>11</v>
      </c>
      <c r="C48" t="s">
        <v>25</v>
      </c>
      <c r="D48">
        <v>2024</v>
      </c>
      <c r="E48">
        <v>9</v>
      </c>
      <c r="F48">
        <v>17</v>
      </c>
      <c r="G48" s="20">
        <v>33.630000000000003</v>
      </c>
      <c r="H48" s="20">
        <f>Tabla1[[#This Row],[Cantidad Vendida]]*Tabla1[[#This Row],[Precio Unitario (USD)]]</f>
        <v>571.71</v>
      </c>
      <c r="I48" s="21">
        <v>8</v>
      </c>
      <c r="J48" s="5">
        <f t="shared" si="1"/>
        <v>4573.68</v>
      </c>
      <c r="K48" t="str">
        <f>IF(Tabla1[[#This Row],[Venta Total (Q)]] = 0, "Sin ventas", "Con ventas")</f>
        <v>Con ventas</v>
      </c>
      <c r="L48" s="20">
        <f t="shared" si="0"/>
        <v>23.541</v>
      </c>
      <c r="M48" s="20">
        <f t="shared" si="2"/>
        <v>400.197</v>
      </c>
      <c r="N48" s="20">
        <f>Tabla1[[#This Row],[Venta Total (USD)]] - Tabla1[[#This Row],[Costo Total (USD)]]</f>
        <v>171.51300000000003</v>
      </c>
    </row>
    <row r="49" spans="1:14" x14ac:dyDescent="0.25">
      <c r="A49" t="s">
        <v>10</v>
      </c>
      <c r="B49" t="s">
        <v>11</v>
      </c>
      <c r="C49" t="s">
        <v>23</v>
      </c>
      <c r="D49">
        <v>2025</v>
      </c>
      <c r="E49">
        <v>4</v>
      </c>
      <c r="F49">
        <v>5</v>
      </c>
      <c r="G49" s="20">
        <v>343.79</v>
      </c>
      <c r="H49" s="20">
        <f>Tabla1[[#This Row],[Cantidad Vendida]]*Tabla1[[#This Row],[Precio Unitario (USD)]]</f>
        <v>1718.95</v>
      </c>
      <c r="I49" s="21">
        <v>8.01</v>
      </c>
      <c r="J49" s="5">
        <f t="shared" si="1"/>
        <v>13768.789500000001</v>
      </c>
      <c r="K49" t="str">
        <f>IF(Tabla1[[#This Row],[Venta Total (Q)]] = 0, "Sin ventas", "Con ventas")</f>
        <v>Con ventas</v>
      </c>
      <c r="L49" s="20">
        <f t="shared" si="0"/>
        <v>240.65299999999999</v>
      </c>
      <c r="M49" s="20">
        <f t="shared" si="2"/>
        <v>1203.2649999999999</v>
      </c>
      <c r="N49" s="20">
        <f>Tabla1[[#This Row],[Venta Total (USD)]] - Tabla1[[#This Row],[Costo Total (USD)]]</f>
        <v>515.68500000000017</v>
      </c>
    </row>
    <row r="50" spans="1:14" x14ac:dyDescent="0.25">
      <c r="A50" t="s">
        <v>35</v>
      </c>
      <c r="B50" t="s">
        <v>21</v>
      </c>
      <c r="C50" t="s">
        <v>22</v>
      </c>
      <c r="D50">
        <v>2025</v>
      </c>
      <c r="E50">
        <v>6</v>
      </c>
      <c r="F50">
        <v>16</v>
      </c>
      <c r="G50" s="20">
        <v>33.42</v>
      </c>
      <c r="H50" s="20">
        <f>Tabla1[[#This Row],[Cantidad Vendida]]*Tabla1[[#This Row],[Precio Unitario (USD)]]</f>
        <v>534.72</v>
      </c>
      <c r="I50" s="21">
        <v>8.27</v>
      </c>
      <c r="J50" s="5">
        <f t="shared" si="1"/>
        <v>4422.1343999999999</v>
      </c>
      <c r="K50" t="str">
        <f>IF(Tabla1[[#This Row],[Venta Total (Q)]] = 0, "Sin ventas", "Con ventas")</f>
        <v>Con ventas</v>
      </c>
      <c r="L50" s="20">
        <f t="shared" si="0"/>
        <v>23.393999999999998</v>
      </c>
      <c r="M50" s="20">
        <f t="shared" si="2"/>
        <v>374.30399999999997</v>
      </c>
      <c r="N50" s="20">
        <f>Tabla1[[#This Row],[Venta Total (USD)]] - Tabla1[[#This Row],[Costo Total (USD)]]</f>
        <v>160.41600000000005</v>
      </c>
    </row>
    <row r="51" spans="1:14" x14ac:dyDescent="0.25">
      <c r="A51" t="s">
        <v>16</v>
      </c>
      <c r="B51" t="s">
        <v>21</v>
      </c>
      <c r="C51" t="s">
        <v>34</v>
      </c>
      <c r="D51">
        <v>2024</v>
      </c>
      <c r="E51">
        <v>6</v>
      </c>
      <c r="F51">
        <v>4</v>
      </c>
      <c r="G51" s="20">
        <v>439.79</v>
      </c>
      <c r="H51" s="20">
        <f>Tabla1[[#This Row],[Cantidad Vendida]]*Tabla1[[#This Row],[Precio Unitario (USD)]]</f>
        <v>1759.16</v>
      </c>
      <c r="I51" s="21">
        <v>8.4700000000000006</v>
      </c>
      <c r="J51" s="5">
        <f t="shared" si="1"/>
        <v>14900.085200000001</v>
      </c>
      <c r="K51" t="str">
        <f>IF(Tabla1[[#This Row],[Venta Total (Q)]] = 0, "Sin ventas", "Con ventas")</f>
        <v>Con ventas</v>
      </c>
      <c r="L51" s="20">
        <f t="shared" si="0"/>
        <v>307.85300000000001</v>
      </c>
      <c r="M51" s="20">
        <f t="shared" si="2"/>
        <v>1231.412</v>
      </c>
      <c r="N51" s="20">
        <f>Tabla1[[#This Row],[Venta Total (USD)]] - Tabla1[[#This Row],[Costo Total (USD)]]</f>
        <v>527.74800000000005</v>
      </c>
    </row>
    <row r="52" spans="1:14" x14ac:dyDescent="0.25">
      <c r="A52" t="s">
        <v>16</v>
      </c>
      <c r="B52" t="s">
        <v>11</v>
      </c>
      <c r="C52" t="s">
        <v>37</v>
      </c>
      <c r="D52">
        <v>2024</v>
      </c>
      <c r="E52">
        <v>8</v>
      </c>
      <c r="F52">
        <v>5</v>
      </c>
      <c r="G52" s="20">
        <v>378.6</v>
      </c>
      <c r="H52" s="20">
        <f>Tabla1[[#This Row],[Cantidad Vendida]]*Tabla1[[#This Row],[Precio Unitario (USD)]]</f>
        <v>1893</v>
      </c>
      <c r="I52" s="21">
        <v>7.9</v>
      </c>
      <c r="J52" s="5">
        <f t="shared" si="1"/>
        <v>14954.7</v>
      </c>
      <c r="K52" t="str">
        <f>IF(Tabla1[[#This Row],[Venta Total (Q)]] = 0, "Sin ventas", "Con ventas")</f>
        <v>Con ventas</v>
      </c>
      <c r="L52" s="20">
        <f t="shared" si="0"/>
        <v>265.02</v>
      </c>
      <c r="M52" s="20">
        <f t="shared" si="2"/>
        <v>1325.1</v>
      </c>
      <c r="N52" s="20">
        <f>Tabla1[[#This Row],[Venta Total (USD)]] - Tabla1[[#This Row],[Costo Total (USD)]]</f>
        <v>567.90000000000009</v>
      </c>
    </row>
    <row r="53" spans="1:14" x14ac:dyDescent="0.25">
      <c r="A53" t="s">
        <v>31</v>
      </c>
      <c r="B53" t="s">
        <v>11</v>
      </c>
      <c r="C53" t="s">
        <v>23</v>
      </c>
      <c r="D53">
        <v>2023</v>
      </c>
      <c r="E53">
        <v>11</v>
      </c>
      <c r="F53">
        <v>2</v>
      </c>
      <c r="G53" s="20">
        <v>368.47</v>
      </c>
      <c r="H53" s="20">
        <f>Tabla1[[#This Row],[Cantidad Vendida]]*Tabla1[[#This Row],[Precio Unitario (USD)]]</f>
        <v>736.94</v>
      </c>
      <c r="I53" s="21">
        <v>8.1199999999999992</v>
      </c>
      <c r="J53" s="5">
        <f t="shared" si="1"/>
        <v>5983.9528</v>
      </c>
      <c r="K53" t="str">
        <f>IF(Tabla1[[#This Row],[Venta Total (Q)]] = 0, "Sin ventas", "Con ventas")</f>
        <v>Con ventas</v>
      </c>
      <c r="L53" s="20">
        <f t="shared" si="0"/>
        <v>257.92900000000003</v>
      </c>
      <c r="M53" s="20">
        <f t="shared" si="2"/>
        <v>515.85800000000006</v>
      </c>
      <c r="N53" s="20">
        <f>Tabla1[[#This Row],[Venta Total (USD)]] - Tabla1[[#This Row],[Costo Total (USD)]]</f>
        <v>221.08199999999999</v>
      </c>
    </row>
    <row r="54" spans="1:14" x14ac:dyDescent="0.25">
      <c r="A54" t="s">
        <v>10</v>
      </c>
      <c r="B54" t="s">
        <v>21</v>
      </c>
      <c r="C54" t="s">
        <v>22</v>
      </c>
      <c r="D54">
        <v>2022</v>
      </c>
      <c r="E54">
        <v>2</v>
      </c>
      <c r="F54">
        <v>10</v>
      </c>
      <c r="G54" s="20">
        <v>190.26</v>
      </c>
      <c r="H54" s="20">
        <f>Tabla1[[#This Row],[Cantidad Vendida]]*Tabla1[[#This Row],[Precio Unitario (USD)]]</f>
        <v>1902.6</v>
      </c>
      <c r="I54" s="21">
        <v>7.69</v>
      </c>
      <c r="J54" s="5">
        <f t="shared" si="1"/>
        <v>14630.994000000001</v>
      </c>
      <c r="K54" t="str">
        <f>IF(Tabla1[[#This Row],[Venta Total (Q)]] = 0, "Sin ventas", "Con ventas")</f>
        <v>Con ventas</v>
      </c>
      <c r="L54" s="20">
        <f t="shared" si="0"/>
        <v>133.18199999999999</v>
      </c>
      <c r="M54" s="20">
        <f t="shared" si="2"/>
        <v>1331.82</v>
      </c>
      <c r="N54" s="20">
        <f>Tabla1[[#This Row],[Venta Total (USD)]] - Tabla1[[#This Row],[Costo Total (USD)]]</f>
        <v>570.78</v>
      </c>
    </row>
    <row r="55" spans="1:14" x14ac:dyDescent="0.25">
      <c r="A55" t="s">
        <v>10</v>
      </c>
      <c r="B55" t="s">
        <v>28</v>
      </c>
      <c r="C55" t="s">
        <v>38</v>
      </c>
      <c r="D55">
        <v>2025</v>
      </c>
      <c r="E55">
        <v>3</v>
      </c>
      <c r="F55">
        <v>19</v>
      </c>
      <c r="G55" s="20">
        <v>246.12</v>
      </c>
      <c r="H55" s="20">
        <f>Tabla1[[#This Row],[Cantidad Vendida]]*Tabla1[[#This Row],[Precio Unitario (USD)]]</f>
        <v>4676.28</v>
      </c>
      <c r="I55" s="21">
        <v>8.1999999999999993</v>
      </c>
      <c r="J55" s="5">
        <f t="shared" si="1"/>
        <v>38345.495999999992</v>
      </c>
      <c r="K55" t="str">
        <f>IF(Tabla1[[#This Row],[Venta Total (Q)]] = 0, "Sin ventas", "Con ventas")</f>
        <v>Con ventas</v>
      </c>
      <c r="L55" s="20">
        <f t="shared" si="0"/>
        <v>172.28399999999999</v>
      </c>
      <c r="M55" s="20">
        <f t="shared" si="2"/>
        <v>3273.3959999999997</v>
      </c>
      <c r="N55" s="20">
        <f>Tabla1[[#This Row],[Venta Total (USD)]] - Tabla1[[#This Row],[Costo Total (USD)]]</f>
        <v>1402.884</v>
      </c>
    </row>
    <row r="56" spans="1:14" x14ac:dyDescent="0.25">
      <c r="A56" t="s">
        <v>10</v>
      </c>
      <c r="B56" t="s">
        <v>28</v>
      </c>
      <c r="C56" t="s">
        <v>39</v>
      </c>
      <c r="D56">
        <v>2024</v>
      </c>
      <c r="E56">
        <v>7</v>
      </c>
      <c r="F56">
        <v>3</v>
      </c>
      <c r="G56" s="20">
        <v>245.81</v>
      </c>
      <c r="H56" s="20">
        <f>Tabla1[[#This Row],[Cantidad Vendida]]*Tabla1[[#This Row],[Precio Unitario (USD)]]</f>
        <v>737.43000000000006</v>
      </c>
      <c r="I56" s="21">
        <v>8.11</v>
      </c>
      <c r="J56" s="5">
        <f t="shared" si="1"/>
        <v>5980.5573000000004</v>
      </c>
      <c r="K56" t="str">
        <f>IF(Tabla1[[#This Row],[Venta Total (Q)]] = 0, "Sin ventas", "Con ventas")</f>
        <v>Con ventas</v>
      </c>
      <c r="L56" s="20">
        <f t="shared" si="0"/>
        <v>172.06699999999998</v>
      </c>
      <c r="M56" s="20">
        <f t="shared" si="2"/>
        <v>516.20099999999991</v>
      </c>
      <c r="N56" s="20">
        <f>Tabla1[[#This Row],[Venta Total (USD)]] - Tabla1[[#This Row],[Costo Total (USD)]]</f>
        <v>221.22900000000016</v>
      </c>
    </row>
    <row r="57" spans="1:14" x14ac:dyDescent="0.25">
      <c r="A57" t="s">
        <v>31</v>
      </c>
      <c r="B57" t="s">
        <v>13</v>
      </c>
      <c r="C57" t="s">
        <v>30</v>
      </c>
      <c r="D57">
        <v>2025</v>
      </c>
      <c r="E57">
        <v>1</v>
      </c>
      <c r="F57">
        <v>16</v>
      </c>
      <c r="G57" s="20">
        <v>332.91</v>
      </c>
      <c r="H57" s="20">
        <f>Tabla1[[#This Row],[Cantidad Vendida]]*Tabla1[[#This Row],[Precio Unitario (USD)]]</f>
        <v>5326.56</v>
      </c>
      <c r="I57" s="21">
        <v>8.1</v>
      </c>
      <c r="J57" s="5">
        <f t="shared" si="1"/>
        <v>43145.135999999999</v>
      </c>
      <c r="K57" t="str">
        <f>IF(Tabla1[[#This Row],[Venta Total (Q)]] = 0, "Sin ventas", "Con ventas")</f>
        <v>Con ventas</v>
      </c>
      <c r="L57" s="20">
        <f t="shared" si="0"/>
        <v>233.03700000000001</v>
      </c>
      <c r="M57" s="20">
        <f t="shared" si="2"/>
        <v>3728.5920000000001</v>
      </c>
      <c r="N57" s="20">
        <f>Tabla1[[#This Row],[Venta Total (USD)]] - Tabla1[[#This Row],[Costo Total (USD)]]</f>
        <v>1597.9680000000003</v>
      </c>
    </row>
    <row r="58" spans="1:14" x14ac:dyDescent="0.25">
      <c r="A58" t="s">
        <v>10</v>
      </c>
      <c r="B58" t="s">
        <v>21</v>
      </c>
      <c r="C58" t="s">
        <v>34</v>
      </c>
      <c r="D58">
        <v>2024</v>
      </c>
      <c r="E58">
        <v>8</v>
      </c>
      <c r="F58">
        <v>19</v>
      </c>
      <c r="G58" s="20">
        <v>491.97</v>
      </c>
      <c r="H58" s="20">
        <f>Tabla1[[#This Row],[Cantidad Vendida]]*Tabla1[[#This Row],[Precio Unitario (USD)]]</f>
        <v>9347.43</v>
      </c>
      <c r="I58" s="21">
        <v>7.9</v>
      </c>
      <c r="J58" s="5">
        <f t="shared" si="1"/>
        <v>73844.697</v>
      </c>
      <c r="K58" t="str">
        <f>IF(Tabla1[[#This Row],[Venta Total (Q)]] = 0, "Sin ventas", "Con ventas")</f>
        <v>Con ventas</v>
      </c>
      <c r="L58" s="20">
        <f t="shared" si="0"/>
        <v>344.37900000000002</v>
      </c>
      <c r="M58" s="20">
        <f t="shared" si="2"/>
        <v>6543.201</v>
      </c>
      <c r="N58" s="20">
        <f>Tabla1[[#This Row],[Venta Total (USD)]] - Tabla1[[#This Row],[Costo Total (USD)]]</f>
        <v>2804.2290000000003</v>
      </c>
    </row>
    <row r="59" spans="1:14" x14ac:dyDescent="0.25">
      <c r="A59" t="s">
        <v>15</v>
      </c>
      <c r="B59" t="s">
        <v>17</v>
      </c>
      <c r="C59" t="s">
        <v>33</v>
      </c>
      <c r="D59">
        <v>2023</v>
      </c>
      <c r="E59">
        <v>5</v>
      </c>
      <c r="F59">
        <v>20</v>
      </c>
      <c r="G59" s="20">
        <v>127.63</v>
      </c>
      <c r="H59" s="20">
        <f>Tabla1[[#This Row],[Cantidad Vendida]]*Tabla1[[#This Row],[Precio Unitario (USD)]]</f>
        <v>2552.6</v>
      </c>
      <c r="I59" s="21">
        <v>7.62</v>
      </c>
      <c r="J59" s="5">
        <f t="shared" si="1"/>
        <v>19450.811999999998</v>
      </c>
      <c r="K59" t="str">
        <f>IF(Tabla1[[#This Row],[Venta Total (Q)]] = 0, "Sin ventas", "Con ventas")</f>
        <v>Con ventas</v>
      </c>
      <c r="L59" s="20">
        <f t="shared" si="0"/>
        <v>89.340999999999994</v>
      </c>
      <c r="M59" s="20">
        <f t="shared" si="2"/>
        <v>1786.82</v>
      </c>
      <c r="N59" s="20">
        <f>Tabla1[[#This Row],[Venta Total (USD)]] - Tabla1[[#This Row],[Costo Total (USD)]]</f>
        <v>765.78</v>
      </c>
    </row>
    <row r="60" spans="1:14" x14ac:dyDescent="0.25">
      <c r="A60" t="s">
        <v>20</v>
      </c>
      <c r="B60" t="s">
        <v>21</v>
      </c>
      <c r="C60" t="s">
        <v>34</v>
      </c>
      <c r="D60">
        <v>2023</v>
      </c>
      <c r="E60">
        <v>6</v>
      </c>
      <c r="F60">
        <v>3</v>
      </c>
      <c r="G60" s="20">
        <v>222.01</v>
      </c>
      <c r="H60" s="20">
        <f>Tabla1[[#This Row],[Cantidad Vendida]]*Tabla1[[#This Row],[Precio Unitario (USD)]]</f>
        <v>666.03</v>
      </c>
      <c r="I60" s="21">
        <v>7.72</v>
      </c>
      <c r="J60" s="5">
        <f t="shared" si="1"/>
        <v>5141.7515999999996</v>
      </c>
      <c r="K60" t="str">
        <f>IF(Tabla1[[#This Row],[Venta Total (Q)]] = 0, "Sin ventas", "Con ventas")</f>
        <v>Con ventas</v>
      </c>
      <c r="L60" s="20">
        <f t="shared" si="0"/>
        <v>155.40699999999998</v>
      </c>
      <c r="M60" s="20">
        <f t="shared" si="2"/>
        <v>466.22099999999995</v>
      </c>
      <c r="N60" s="20">
        <f>Tabla1[[#This Row],[Venta Total (USD)]] - Tabla1[[#This Row],[Costo Total (USD)]]</f>
        <v>199.80900000000003</v>
      </c>
    </row>
    <row r="61" spans="1:14" x14ac:dyDescent="0.25">
      <c r="A61" t="s">
        <v>31</v>
      </c>
      <c r="B61" t="s">
        <v>17</v>
      </c>
      <c r="C61" t="s">
        <v>18</v>
      </c>
      <c r="D61">
        <v>2025</v>
      </c>
      <c r="E61">
        <v>9</v>
      </c>
      <c r="F61">
        <v>14</v>
      </c>
      <c r="G61" s="20">
        <v>18.8</v>
      </c>
      <c r="H61" s="20">
        <f>Tabla1[[#This Row],[Cantidad Vendida]]*Tabla1[[#This Row],[Precio Unitario (USD)]]</f>
        <v>263.2</v>
      </c>
      <c r="I61" s="21">
        <v>8.3000000000000007</v>
      </c>
      <c r="J61" s="5">
        <f t="shared" si="1"/>
        <v>2184.56</v>
      </c>
      <c r="K61" t="str">
        <f>IF(Tabla1[[#This Row],[Venta Total (Q)]] = 0, "Sin ventas", "Con ventas")</f>
        <v>Con ventas</v>
      </c>
      <c r="L61" s="20">
        <f t="shared" si="0"/>
        <v>13.16</v>
      </c>
      <c r="M61" s="20">
        <f t="shared" si="2"/>
        <v>184.24</v>
      </c>
      <c r="N61" s="20">
        <f>Tabla1[[#This Row],[Venta Total (USD)]] - Tabla1[[#This Row],[Costo Total (USD)]]</f>
        <v>78.95999999999998</v>
      </c>
    </row>
    <row r="62" spans="1:14" x14ac:dyDescent="0.25">
      <c r="A62" t="s">
        <v>31</v>
      </c>
      <c r="B62" t="s">
        <v>11</v>
      </c>
      <c r="C62" t="s">
        <v>12</v>
      </c>
      <c r="D62">
        <v>2023</v>
      </c>
      <c r="E62">
        <v>2</v>
      </c>
      <c r="F62">
        <v>4</v>
      </c>
      <c r="G62" s="20">
        <v>492.97</v>
      </c>
      <c r="H62" s="20">
        <f>Tabla1[[#This Row],[Cantidad Vendida]]*Tabla1[[#This Row],[Precio Unitario (USD)]]</f>
        <v>1971.88</v>
      </c>
      <c r="I62" s="21">
        <v>7.98</v>
      </c>
      <c r="J62" s="5">
        <f t="shared" si="1"/>
        <v>15735.602400000002</v>
      </c>
      <c r="K62" t="str">
        <f>IF(Tabla1[[#This Row],[Venta Total (Q)]] = 0, "Sin ventas", "Con ventas")</f>
        <v>Con ventas</v>
      </c>
      <c r="L62" s="20">
        <f t="shared" si="0"/>
        <v>345.07900000000001</v>
      </c>
      <c r="M62" s="20">
        <f t="shared" si="2"/>
        <v>1380.316</v>
      </c>
      <c r="N62" s="20">
        <f>Tabla1[[#This Row],[Venta Total (USD)]] - Tabla1[[#This Row],[Costo Total (USD)]]</f>
        <v>591.56400000000008</v>
      </c>
    </row>
    <row r="63" spans="1:14" x14ac:dyDescent="0.25">
      <c r="A63" t="s">
        <v>15</v>
      </c>
      <c r="B63" t="s">
        <v>21</v>
      </c>
      <c r="C63" t="s">
        <v>34</v>
      </c>
      <c r="D63">
        <v>2025</v>
      </c>
      <c r="E63">
        <v>12</v>
      </c>
      <c r="F63">
        <v>18</v>
      </c>
      <c r="G63" s="20">
        <v>32.51</v>
      </c>
      <c r="H63" s="20">
        <f>Tabla1[[#This Row],[Cantidad Vendida]]*Tabla1[[#This Row],[Precio Unitario (USD)]]</f>
        <v>585.17999999999995</v>
      </c>
      <c r="I63" s="21">
        <v>7.62</v>
      </c>
      <c r="J63" s="5">
        <f t="shared" si="1"/>
        <v>4459.0715999999993</v>
      </c>
      <c r="K63" t="str">
        <f>IF(Tabla1[[#This Row],[Venta Total (Q)]] = 0, "Sin ventas", "Con ventas")</f>
        <v>Con ventas</v>
      </c>
      <c r="L63" s="20">
        <f t="shared" si="0"/>
        <v>22.756999999999998</v>
      </c>
      <c r="M63" s="20">
        <f t="shared" si="2"/>
        <v>409.62599999999998</v>
      </c>
      <c r="N63" s="20">
        <f>Tabla1[[#This Row],[Venta Total (USD)]] - Tabla1[[#This Row],[Costo Total (USD)]]</f>
        <v>175.55399999999997</v>
      </c>
    </row>
    <row r="64" spans="1:14" x14ac:dyDescent="0.25">
      <c r="A64" t="s">
        <v>20</v>
      </c>
      <c r="B64" t="s">
        <v>17</v>
      </c>
      <c r="C64" t="s">
        <v>18</v>
      </c>
      <c r="D64">
        <v>2022</v>
      </c>
      <c r="E64">
        <v>3</v>
      </c>
      <c r="F64">
        <v>16</v>
      </c>
      <c r="G64" s="20">
        <v>149.29</v>
      </c>
      <c r="H64" s="20">
        <f>Tabla1[[#This Row],[Cantidad Vendida]]*Tabla1[[#This Row],[Precio Unitario (USD)]]</f>
        <v>2388.64</v>
      </c>
      <c r="I64" s="21">
        <v>8.0500000000000007</v>
      </c>
      <c r="J64" s="5">
        <f t="shared" si="1"/>
        <v>19228.552</v>
      </c>
      <c r="K64" t="str">
        <f>IF(Tabla1[[#This Row],[Venta Total (Q)]] = 0, "Sin ventas", "Con ventas")</f>
        <v>Con ventas</v>
      </c>
      <c r="L64" s="20">
        <f t="shared" si="0"/>
        <v>104.50299999999999</v>
      </c>
      <c r="M64" s="20">
        <f t="shared" si="2"/>
        <v>1672.0479999999998</v>
      </c>
      <c r="N64" s="20">
        <f>Tabla1[[#This Row],[Venta Total (USD)]] - Tabla1[[#This Row],[Costo Total (USD)]]</f>
        <v>716.5920000000001</v>
      </c>
    </row>
    <row r="65" spans="1:14" x14ac:dyDescent="0.25">
      <c r="A65" t="s">
        <v>15</v>
      </c>
      <c r="B65" t="s">
        <v>13</v>
      </c>
      <c r="C65" t="s">
        <v>27</v>
      </c>
      <c r="D65">
        <v>2023</v>
      </c>
      <c r="E65">
        <v>2</v>
      </c>
      <c r="F65">
        <v>5</v>
      </c>
      <c r="G65" s="20">
        <v>162.16999999999999</v>
      </c>
      <c r="H65" s="20">
        <f>Tabla1[[#This Row],[Cantidad Vendida]]*Tabla1[[#This Row],[Precio Unitario (USD)]]</f>
        <v>810.84999999999991</v>
      </c>
      <c r="I65" s="21">
        <v>7.83</v>
      </c>
      <c r="J65" s="5">
        <f t="shared" si="1"/>
        <v>6348.9554999999991</v>
      </c>
      <c r="K65" t="str">
        <f>IF(Tabla1[[#This Row],[Venta Total (Q)]] = 0, "Sin ventas", "Con ventas")</f>
        <v>Con ventas</v>
      </c>
      <c r="L65" s="20">
        <f t="shared" si="0"/>
        <v>113.51899999999998</v>
      </c>
      <c r="M65" s="20">
        <f t="shared" si="2"/>
        <v>567.59499999999991</v>
      </c>
      <c r="N65" s="20">
        <f>Tabla1[[#This Row],[Venta Total (USD)]] - Tabla1[[#This Row],[Costo Total (USD)]]</f>
        <v>243.255</v>
      </c>
    </row>
    <row r="66" spans="1:14" x14ac:dyDescent="0.25">
      <c r="A66" t="s">
        <v>35</v>
      </c>
      <c r="B66" t="s">
        <v>17</v>
      </c>
      <c r="C66" t="s">
        <v>19</v>
      </c>
      <c r="D66">
        <v>2023</v>
      </c>
      <c r="E66">
        <v>5</v>
      </c>
      <c r="F66">
        <v>15</v>
      </c>
      <c r="G66" s="20">
        <v>476.31</v>
      </c>
      <c r="H66" s="20">
        <f>Tabla1[[#This Row],[Cantidad Vendida]]*Tabla1[[#This Row],[Precio Unitario (USD)]]</f>
        <v>7144.65</v>
      </c>
      <c r="I66" s="21">
        <v>7.72</v>
      </c>
      <c r="J66" s="5">
        <f t="shared" si="1"/>
        <v>55156.697999999997</v>
      </c>
      <c r="K66" t="str">
        <f>IF(Tabla1[[#This Row],[Venta Total (Q)]] = 0, "Sin ventas", "Con ventas")</f>
        <v>Con ventas</v>
      </c>
      <c r="L66" s="20">
        <f t="shared" ref="L66:L129" si="3">IF(G66&gt;0, G66*0.7, "")</f>
        <v>333.41699999999997</v>
      </c>
      <c r="M66" s="20">
        <f t="shared" ref="M66:M129" si="4">F66 * L66</f>
        <v>5001.2549999999992</v>
      </c>
      <c r="N66" s="20">
        <f>Tabla1[[#This Row],[Venta Total (USD)]] - Tabla1[[#This Row],[Costo Total (USD)]]</f>
        <v>2143.3950000000004</v>
      </c>
    </row>
    <row r="67" spans="1:14" x14ac:dyDescent="0.25">
      <c r="A67" t="s">
        <v>15</v>
      </c>
      <c r="B67" t="s">
        <v>17</v>
      </c>
      <c r="C67" t="s">
        <v>18</v>
      </c>
      <c r="D67">
        <v>2025</v>
      </c>
      <c r="E67">
        <v>6</v>
      </c>
      <c r="F67">
        <v>9</v>
      </c>
      <c r="G67" s="20">
        <v>47.77</v>
      </c>
      <c r="H67" s="20">
        <f>Tabla1[[#This Row],[Cantidad Vendida]]*Tabla1[[#This Row],[Precio Unitario (USD)]]</f>
        <v>429.93</v>
      </c>
      <c r="I67" s="21">
        <v>7.7</v>
      </c>
      <c r="J67" s="5">
        <f t="shared" ref="J67:J130" si="5">H67 * I67</f>
        <v>3310.4610000000002</v>
      </c>
      <c r="K67" t="str">
        <f>IF(Tabla1[[#This Row],[Venta Total (Q)]] = 0, "Sin ventas", "Con ventas")</f>
        <v>Con ventas</v>
      </c>
      <c r="L67" s="20">
        <f t="shared" si="3"/>
        <v>33.439</v>
      </c>
      <c r="M67" s="20">
        <f t="shared" si="4"/>
        <v>300.95100000000002</v>
      </c>
      <c r="N67" s="20">
        <f>Tabla1[[#This Row],[Venta Total (USD)]] - Tabla1[[#This Row],[Costo Total (USD)]]</f>
        <v>128.97899999999998</v>
      </c>
    </row>
    <row r="68" spans="1:14" x14ac:dyDescent="0.25">
      <c r="A68" t="s">
        <v>20</v>
      </c>
      <c r="B68" t="s">
        <v>13</v>
      </c>
      <c r="C68" t="s">
        <v>30</v>
      </c>
      <c r="D68">
        <v>2024</v>
      </c>
      <c r="E68">
        <v>9</v>
      </c>
      <c r="F68">
        <v>8</v>
      </c>
      <c r="G68" s="20">
        <v>450.64</v>
      </c>
      <c r="H68" s="20">
        <f>Tabla1[[#This Row],[Cantidad Vendida]]*Tabla1[[#This Row],[Precio Unitario (USD)]]</f>
        <v>3605.12</v>
      </c>
      <c r="I68" s="21">
        <v>8.3000000000000007</v>
      </c>
      <c r="J68" s="5">
        <f t="shared" si="5"/>
        <v>29922.496000000003</v>
      </c>
      <c r="K68" t="str">
        <f>IF(Tabla1[[#This Row],[Venta Total (Q)]] = 0, "Sin ventas", "Con ventas")</f>
        <v>Con ventas</v>
      </c>
      <c r="L68" s="20">
        <f t="shared" si="3"/>
        <v>315.44799999999998</v>
      </c>
      <c r="M68" s="20">
        <f t="shared" si="4"/>
        <v>2523.5839999999998</v>
      </c>
      <c r="N68" s="20">
        <f>Tabla1[[#This Row],[Venta Total (USD)]] - Tabla1[[#This Row],[Costo Total (USD)]]</f>
        <v>1081.5360000000001</v>
      </c>
    </row>
    <row r="69" spans="1:14" x14ac:dyDescent="0.25">
      <c r="A69" t="s">
        <v>15</v>
      </c>
      <c r="B69" t="s">
        <v>11</v>
      </c>
      <c r="C69" t="s">
        <v>12</v>
      </c>
      <c r="D69">
        <v>2023</v>
      </c>
      <c r="E69">
        <v>3</v>
      </c>
      <c r="F69">
        <v>5</v>
      </c>
      <c r="G69" s="20">
        <v>39.67</v>
      </c>
      <c r="H69" s="20">
        <f>Tabla1[[#This Row],[Cantidad Vendida]]*Tabla1[[#This Row],[Precio Unitario (USD)]]</f>
        <v>198.35000000000002</v>
      </c>
      <c r="I69" s="21">
        <v>8.11</v>
      </c>
      <c r="J69" s="5">
        <f t="shared" si="5"/>
        <v>1608.6185</v>
      </c>
      <c r="K69" t="str">
        <f>IF(Tabla1[[#This Row],[Venta Total (Q)]] = 0, "Sin ventas", "Con ventas")</f>
        <v>Con ventas</v>
      </c>
      <c r="L69" s="20">
        <f t="shared" si="3"/>
        <v>27.768999999999998</v>
      </c>
      <c r="M69" s="20">
        <f t="shared" si="4"/>
        <v>138.845</v>
      </c>
      <c r="N69" s="20">
        <f>Tabla1[[#This Row],[Venta Total (USD)]] - Tabla1[[#This Row],[Costo Total (USD)]]</f>
        <v>59.505000000000024</v>
      </c>
    </row>
    <row r="70" spans="1:14" x14ac:dyDescent="0.25">
      <c r="A70" t="s">
        <v>15</v>
      </c>
      <c r="B70" t="s">
        <v>21</v>
      </c>
      <c r="C70" t="s">
        <v>24</v>
      </c>
      <c r="D70">
        <v>2022</v>
      </c>
      <c r="E70">
        <v>11</v>
      </c>
      <c r="F70">
        <v>9</v>
      </c>
      <c r="G70" s="20">
        <v>305.81</v>
      </c>
      <c r="H70" s="20">
        <f>Tabla1[[#This Row],[Cantidad Vendida]]*Tabla1[[#This Row],[Precio Unitario (USD)]]</f>
        <v>2752.29</v>
      </c>
      <c r="I70" s="21">
        <v>8.4</v>
      </c>
      <c r="J70" s="5">
        <f t="shared" si="5"/>
        <v>23119.236000000001</v>
      </c>
      <c r="K70" t="str">
        <f>IF(Tabla1[[#This Row],[Venta Total (Q)]] = 0, "Sin ventas", "Con ventas")</f>
        <v>Con ventas</v>
      </c>
      <c r="L70" s="20">
        <f t="shared" si="3"/>
        <v>214.06699999999998</v>
      </c>
      <c r="M70" s="20">
        <f t="shared" si="4"/>
        <v>1926.6029999999998</v>
      </c>
      <c r="N70" s="20">
        <f>Tabla1[[#This Row],[Venta Total (USD)]] - Tabla1[[#This Row],[Costo Total (USD)]]</f>
        <v>825.68700000000013</v>
      </c>
    </row>
    <row r="71" spans="1:14" x14ac:dyDescent="0.25">
      <c r="A71" t="s">
        <v>10</v>
      </c>
      <c r="B71" t="s">
        <v>28</v>
      </c>
      <c r="C71" t="s">
        <v>39</v>
      </c>
      <c r="D71">
        <v>2023</v>
      </c>
      <c r="E71">
        <v>10</v>
      </c>
      <c r="F71">
        <v>17</v>
      </c>
      <c r="G71" s="20">
        <v>447.85</v>
      </c>
      <c r="H71" s="20">
        <f>Tabla1[[#This Row],[Cantidad Vendida]]*Tabla1[[#This Row],[Precio Unitario (USD)]]</f>
        <v>7613.4500000000007</v>
      </c>
      <c r="I71" s="21">
        <v>7.52</v>
      </c>
      <c r="J71" s="5">
        <f t="shared" si="5"/>
        <v>57253.144</v>
      </c>
      <c r="K71" t="str">
        <f>IF(Tabla1[[#This Row],[Venta Total (Q)]] = 0, "Sin ventas", "Con ventas")</f>
        <v>Con ventas</v>
      </c>
      <c r="L71" s="20">
        <f t="shared" si="3"/>
        <v>313.495</v>
      </c>
      <c r="M71" s="20">
        <f t="shared" si="4"/>
        <v>5329.415</v>
      </c>
      <c r="N71" s="20">
        <f>Tabla1[[#This Row],[Venta Total (USD)]] - Tabla1[[#This Row],[Costo Total (USD)]]</f>
        <v>2284.0350000000008</v>
      </c>
    </row>
    <row r="72" spans="1:14" x14ac:dyDescent="0.25">
      <c r="A72" t="s">
        <v>20</v>
      </c>
      <c r="B72" t="s">
        <v>28</v>
      </c>
      <c r="C72" t="s">
        <v>38</v>
      </c>
      <c r="D72">
        <v>2023</v>
      </c>
      <c r="E72">
        <v>12</v>
      </c>
      <c r="F72">
        <v>7</v>
      </c>
      <c r="G72" s="20">
        <v>218.85</v>
      </c>
      <c r="H72" s="20">
        <f>Tabla1[[#This Row],[Cantidad Vendida]]*Tabla1[[#This Row],[Precio Unitario (USD)]]</f>
        <v>1531.95</v>
      </c>
      <c r="I72" s="21">
        <v>8.42</v>
      </c>
      <c r="J72" s="5">
        <f t="shared" si="5"/>
        <v>12899.019</v>
      </c>
      <c r="K72" t="str">
        <f>IF(Tabla1[[#This Row],[Venta Total (Q)]] = 0, "Sin ventas", "Con ventas")</f>
        <v>Con ventas</v>
      </c>
      <c r="L72" s="20">
        <f t="shared" si="3"/>
        <v>153.19499999999999</v>
      </c>
      <c r="M72" s="20">
        <f t="shared" si="4"/>
        <v>1072.365</v>
      </c>
      <c r="N72" s="20">
        <f>Tabla1[[#This Row],[Venta Total (USD)]] - Tabla1[[#This Row],[Costo Total (USD)]]</f>
        <v>459.58500000000004</v>
      </c>
    </row>
    <row r="73" spans="1:14" x14ac:dyDescent="0.25">
      <c r="A73" t="s">
        <v>16</v>
      </c>
      <c r="B73" t="s">
        <v>21</v>
      </c>
      <c r="C73" t="s">
        <v>22</v>
      </c>
      <c r="D73">
        <v>2022</v>
      </c>
      <c r="E73">
        <v>12</v>
      </c>
      <c r="F73">
        <v>11</v>
      </c>
      <c r="G73" s="20">
        <v>497.39</v>
      </c>
      <c r="H73" s="20">
        <f>Tabla1[[#This Row],[Cantidad Vendida]]*Tabla1[[#This Row],[Precio Unitario (USD)]]</f>
        <v>5471.29</v>
      </c>
      <c r="I73" s="21">
        <v>8.2799999999999994</v>
      </c>
      <c r="J73" s="5">
        <f t="shared" si="5"/>
        <v>45302.281199999998</v>
      </c>
      <c r="K73" t="str">
        <f>IF(Tabla1[[#This Row],[Venta Total (Q)]] = 0, "Sin ventas", "Con ventas")</f>
        <v>Con ventas</v>
      </c>
      <c r="L73" s="20">
        <f t="shared" si="3"/>
        <v>348.17299999999994</v>
      </c>
      <c r="M73" s="20">
        <f t="shared" si="4"/>
        <v>3829.9029999999993</v>
      </c>
      <c r="N73" s="20">
        <f>Tabla1[[#This Row],[Venta Total (USD)]] - Tabla1[[#This Row],[Costo Total (USD)]]</f>
        <v>1641.3870000000006</v>
      </c>
    </row>
    <row r="74" spans="1:14" x14ac:dyDescent="0.25">
      <c r="A74" t="s">
        <v>16</v>
      </c>
      <c r="B74" t="s">
        <v>11</v>
      </c>
      <c r="C74" t="s">
        <v>37</v>
      </c>
      <c r="D74">
        <v>2022</v>
      </c>
      <c r="E74">
        <v>9</v>
      </c>
      <c r="F74">
        <v>9</v>
      </c>
      <c r="G74" s="20">
        <v>81.010000000000005</v>
      </c>
      <c r="H74" s="20">
        <f>Tabla1[[#This Row],[Cantidad Vendida]]*Tabla1[[#This Row],[Precio Unitario (USD)]]</f>
        <v>729.09</v>
      </c>
      <c r="I74" s="21">
        <v>8.35</v>
      </c>
      <c r="J74" s="5">
        <f t="shared" si="5"/>
        <v>6087.9014999999999</v>
      </c>
      <c r="K74" t="str">
        <f>IF(Tabla1[[#This Row],[Venta Total (Q)]] = 0, "Sin ventas", "Con ventas")</f>
        <v>Con ventas</v>
      </c>
      <c r="L74" s="20">
        <f t="shared" si="3"/>
        <v>56.707000000000001</v>
      </c>
      <c r="M74" s="20">
        <f t="shared" si="4"/>
        <v>510.363</v>
      </c>
      <c r="N74" s="20">
        <f>Tabla1[[#This Row],[Venta Total (USD)]] - Tabla1[[#This Row],[Costo Total (USD)]]</f>
        <v>218.72700000000003</v>
      </c>
    </row>
    <row r="75" spans="1:14" x14ac:dyDescent="0.25">
      <c r="A75" t="s">
        <v>16</v>
      </c>
      <c r="B75" t="s">
        <v>13</v>
      </c>
      <c r="C75" t="s">
        <v>14</v>
      </c>
      <c r="D75">
        <v>2023</v>
      </c>
      <c r="E75">
        <v>6</v>
      </c>
      <c r="F75">
        <v>4</v>
      </c>
      <c r="G75" s="20">
        <v>200.49</v>
      </c>
      <c r="H75" s="20">
        <f>Tabla1[[#This Row],[Cantidad Vendida]]*Tabla1[[#This Row],[Precio Unitario (USD)]]</f>
        <v>801.96</v>
      </c>
      <c r="I75" s="21">
        <v>8.3800000000000008</v>
      </c>
      <c r="J75" s="5">
        <f t="shared" si="5"/>
        <v>6720.4248000000007</v>
      </c>
      <c r="K75" t="str">
        <f>IF(Tabla1[[#This Row],[Venta Total (Q)]] = 0, "Sin ventas", "Con ventas")</f>
        <v>Con ventas</v>
      </c>
      <c r="L75" s="20">
        <f t="shared" si="3"/>
        <v>140.34299999999999</v>
      </c>
      <c r="M75" s="20">
        <f t="shared" si="4"/>
        <v>561.37199999999996</v>
      </c>
      <c r="N75" s="20">
        <f>Tabla1[[#This Row],[Venta Total (USD)]] - Tabla1[[#This Row],[Costo Total (USD)]]</f>
        <v>240.58800000000008</v>
      </c>
    </row>
    <row r="76" spans="1:14" x14ac:dyDescent="0.25">
      <c r="A76" t="s">
        <v>20</v>
      </c>
      <c r="B76" t="s">
        <v>28</v>
      </c>
      <c r="C76" t="s">
        <v>40</v>
      </c>
      <c r="D76">
        <v>2023</v>
      </c>
      <c r="E76">
        <v>5</v>
      </c>
      <c r="F76">
        <v>19</v>
      </c>
      <c r="G76" s="20">
        <v>263.39</v>
      </c>
      <c r="H76" s="20">
        <f>Tabla1[[#This Row],[Cantidad Vendida]]*Tabla1[[#This Row],[Precio Unitario (USD)]]</f>
        <v>5004.41</v>
      </c>
      <c r="I76" s="21">
        <v>8.07</v>
      </c>
      <c r="J76" s="5">
        <f t="shared" si="5"/>
        <v>40385.5887</v>
      </c>
      <c r="K76" t="str">
        <f>IF(Tabla1[[#This Row],[Venta Total (Q)]] = 0, "Sin ventas", "Con ventas")</f>
        <v>Con ventas</v>
      </c>
      <c r="L76" s="20">
        <f t="shared" si="3"/>
        <v>184.37299999999999</v>
      </c>
      <c r="M76" s="20">
        <f t="shared" si="4"/>
        <v>3503.087</v>
      </c>
      <c r="N76" s="20">
        <f>Tabla1[[#This Row],[Venta Total (USD)]] - Tabla1[[#This Row],[Costo Total (USD)]]</f>
        <v>1501.3229999999999</v>
      </c>
    </row>
    <row r="77" spans="1:14" x14ac:dyDescent="0.25">
      <c r="A77" t="s">
        <v>10</v>
      </c>
      <c r="B77" t="s">
        <v>13</v>
      </c>
      <c r="C77" t="s">
        <v>14</v>
      </c>
      <c r="D77">
        <v>2022</v>
      </c>
      <c r="E77">
        <v>11</v>
      </c>
      <c r="F77">
        <v>2</v>
      </c>
      <c r="G77" s="20">
        <v>216.09</v>
      </c>
      <c r="H77" s="20">
        <f>Tabla1[[#This Row],[Cantidad Vendida]]*Tabla1[[#This Row],[Precio Unitario (USD)]]</f>
        <v>432.18</v>
      </c>
      <c r="I77" s="21">
        <v>8.3000000000000007</v>
      </c>
      <c r="J77" s="5">
        <f t="shared" si="5"/>
        <v>3587.0940000000005</v>
      </c>
      <c r="K77" t="str">
        <f>IF(Tabla1[[#This Row],[Venta Total (Q)]] = 0, "Sin ventas", "Con ventas")</f>
        <v>Con ventas</v>
      </c>
      <c r="L77" s="20">
        <f t="shared" si="3"/>
        <v>151.26300000000001</v>
      </c>
      <c r="M77" s="20">
        <f t="shared" si="4"/>
        <v>302.52600000000001</v>
      </c>
      <c r="N77" s="20">
        <f>Tabla1[[#This Row],[Venta Total (USD)]] - Tabla1[[#This Row],[Costo Total (USD)]]</f>
        <v>129.654</v>
      </c>
    </row>
    <row r="78" spans="1:14" x14ac:dyDescent="0.25">
      <c r="A78" t="s">
        <v>35</v>
      </c>
      <c r="B78" t="s">
        <v>28</v>
      </c>
      <c r="C78" t="s">
        <v>29</v>
      </c>
      <c r="D78">
        <v>2022</v>
      </c>
      <c r="E78">
        <v>12</v>
      </c>
      <c r="F78">
        <v>19</v>
      </c>
      <c r="G78" s="20">
        <v>235.53</v>
      </c>
      <c r="H78" s="20">
        <f>Tabla1[[#This Row],[Cantidad Vendida]]*Tabla1[[#This Row],[Precio Unitario (USD)]]</f>
        <v>4475.07</v>
      </c>
      <c r="I78" s="21">
        <v>8.49</v>
      </c>
      <c r="J78" s="5">
        <f t="shared" si="5"/>
        <v>37993.344299999997</v>
      </c>
      <c r="K78" t="str">
        <f>IF(Tabla1[[#This Row],[Venta Total (Q)]] = 0, "Sin ventas", "Con ventas")</f>
        <v>Con ventas</v>
      </c>
      <c r="L78" s="20">
        <f t="shared" si="3"/>
        <v>164.87099999999998</v>
      </c>
      <c r="M78" s="20">
        <f t="shared" si="4"/>
        <v>3132.5489999999995</v>
      </c>
      <c r="N78" s="20">
        <f>Tabla1[[#This Row],[Venta Total (USD)]] - Tabla1[[#This Row],[Costo Total (USD)]]</f>
        <v>1342.5210000000002</v>
      </c>
    </row>
    <row r="79" spans="1:14" x14ac:dyDescent="0.25">
      <c r="A79" t="s">
        <v>35</v>
      </c>
      <c r="B79" t="s">
        <v>13</v>
      </c>
      <c r="C79" t="s">
        <v>14</v>
      </c>
      <c r="D79">
        <v>2023</v>
      </c>
      <c r="E79">
        <v>7</v>
      </c>
      <c r="F79">
        <v>5</v>
      </c>
      <c r="G79" s="20">
        <v>157.59</v>
      </c>
      <c r="H79" s="20">
        <f>Tabla1[[#This Row],[Cantidad Vendida]]*Tabla1[[#This Row],[Precio Unitario (USD)]]</f>
        <v>787.95</v>
      </c>
      <c r="I79" s="21">
        <v>8.07</v>
      </c>
      <c r="J79" s="5">
        <f t="shared" si="5"/>
        <v>6358.7565000000004</v>
      </c>
      <c r="K79" t="str">
        <f>IF(Tabla1[[#This Row],[Venta Total (Q)]] = 0, "Sin ventas", "Con ventas")</f>
        <v>Con ventas</v>
      </c>
      <c r="L79" s="20">
        <f t="shared" si="3"/>
        <v>110.313</v>
      </c>
      <c r="M79" s="20">
        <f t="shared" si="4"/>
        <v>551.56500000000005</v>
      </c>
      <c r="N79" s="20">
        <f>Tabla1[[#This Row],[Venta Total (USD)]] - Tabla1[[#This Row],[Costo Total (USD)]]</f>
        <v>236.38499999999999</v>
      </c>
    </row>
    <row r="80" spans="1:14" x14ac:dyDescent="0.25">
      <c r="A80" t="s">
        <v>15</v>
      </c>
      <c r="B80" t="s">
        <v>13</v>
      </c>
      <c r="C80" t="s">
        <v>14</v>
      </c>
      <c r="D80">
        <v>2025</v>
      </c>
      <c r="E80">
        <v>6</v>
      </c>
      <c r="F80">
        <v>16</v>
      </c>
      <c r="G80" s="20">
        <v>463.14</v>
      </c>
      <c r="H80" s="20">
        <f>Tabla1[[#This Row],[Cantidad Vendida]]*Tabla1[[#This Row],[Precio Unitario (USD)]]</f>
        <v>7410.24</v>
      </c>
      <c r="I80" s="21">
        <v>7.85</v>
      </c>
      <c r="J80" s="5">
        <f t="shared" si="5"/>
        <v>58170.383999999998</v>
      </c>
      <c r="K80" t="str">
        <f>IF(Tabla1[[#This Row],[Venta Total (Q)]] = 0, "Sin ventas", "Con ventas")</f>
        <v>Con ventas</v>
      </c>
      <c r="L80" s="20">
        <f t="shared" si="3"/>
        <v>324.19799999999998</v>
      </c>
      <c r="M80" s="20">
        <f t="shared" si="4"/>
        <v>5187.1679999999997</v>
      </c>
      <c r="N80" s="20">
        <f>Tabla1[[#This Row],[Venta Total (USD)]] - Tabla1[[#This Row],[Costo Total (USD)]]</f>
        <v>2223.0720000000001</v>
      </c>
    </row>
    <row r="81" spans="1:14" x14ac:dyDescent="0.25">
      <c r="A81" t="s">
        <v>35</v>
      </c>
      <c r="B81" t="s">
        <v>28</v>
      </c>
      <c r="C81" t="s">
        <v>29</v>
      </c>
      <c r="D81">
        <v>2025</v>
      </c>
      <c r="E81">
        <v>8</v>
      </c>
      <c r="F81">
        <v>15</v>
      </c>
      <c r="G81" s="20">
        <v>106.67</v>
      </c>
      <c r="H81" s="20">
        <f>Tabla1[[#This Row],[Cantidad Vendida]]*Tabla1[[#This Row],[Precio Unitario (USD)]]</f>
        <v>1600.05</v>
      </c>
      <c r="I81" s="21">
        <v>7.71</v>
      </c>
      <c r="J81" s="5">
        <f t="shared" si="5"/>
        <v>12336.3855</v>
      </c>
      <c r="K81" t="str">
        <f>IF(Tabla1[[#This Row],[Venta Total (Q)]] = 0, "Sin ventas", "Con ventas")</f>
        <v>Con ventas</v>
      </c>
      <c r="L81" s="20">
        <f t="shared" si="3"/>
        <v>74.668999999999997</v>
      </c>
      <c r="M81" s="20">
        <f t="shared" si="4"/>
        <v>1120.0349999999999</v>
      </c>
      <c r="N81" s="20">
        <f>Tabla1[[#This Row],[Venta Total (USD)]] - Tabla1[[#This Row],[Costo Total (USD)]]</f>
        <v>480.0150000000001</v>
      </c>
    </row>
    <row r="82" spans="1:14" x14ac:dyDescent="0.25">
      <c r="A82" t="s">
        <v>15</v>
      </c>
      <c r="B82" t="s">
        <v>28</v>
      </c>
      <c r="C82" t="s">
        <v>29</v>
      </c>
      <c r="D82">
        <v>2024</v>
      </c>
      <c r="E82">
        <v>5</v>
      </c>
      <c r="F82">
        <v>10</v>
      </c>
      <c r="G82" s="20">
        <v>288.43</v>
      </c>
      <c r="H82" s="20">
        <f>Tabla1[[#This Row],[Cantidad Vendida]]*Tabla1[[#This Row],[Precio Unitario (USD)]]</f>
        <v>2884.3</v>
      </c>
      <c r="I82" s="21">
        <v>7.57</v>
      </c>
      <c r="J82" s="5">
        <f t="shared" si="5"/>
        <v>21834.151000000002</v>
      </c>
      <c r="K82" t="str">
        <f>IF(Tabla1[[#This Row],[Venta Total (Q)]] = 0, "Sin ventas", "Con ventas")</f>
        <v>Con ventas</v>
      </c>
      <c r="L82" s="20">
        <f t="shared" si="3"/>
        <v>201.90099999999998</v>
      </c>
      <c r="M82" s="20">
        <f t="shared" si="4"/>
        <v>2019.0099999999998</v>
      </c>
      <c r="N82" s="20">
        <f>Tabla1[[#This Row],[Venta Total (USD)]] - Tabla1[[#This Row],[Costo Total (USD)]]</f>
        <v>865.29000000000042</v>
      </c>
    </row>
    <row r="83" spans="1:14" x14ac:dyDescent="0.25">
      <c r="A83" t="s">
        <v>35</v>
      </c>
      <c r="B83" t="s">
        <v>17</v>
      </c>
      <c r="C83" t="s">
        <v>26</v>
      </c>
      <c r="D83">
        <v>2024</v>
      </c>
      <c r="E83">
        <v>10</v>
      </c>
      <c r="F83">
        <v>5</v>
      </c>
      <c r="G83" s="20">
        <v>363.48</v>
      </c>
      <c r="H83" s="20">
        <f>Tabla1[[#This Row],[Cantidad Vendida]]*Tabla1[[#This Row],[Precio Unitario (USD)]]</f>
        <v>1817.4</v>
      </c>
      <c r="I83" s="21">
        <v>8.11</v>
      </c>
      <c r="J83" s="5">
        <f t="shared" si="5"/>
        <v>14739.114</v>
      </c>
      <c r="K83" t="str">
        <f>IF(Tabla1[[#This Row],[Venta Total (Q)]] = 0, "Sin ventas", "Con ventas")</f>
        <v>Con ventas</v>
      </c>
      <c r="L83" s="20">
        <f t="shared" si="3"/>
        <v>254.43600000000001</v>
      </c>
      <c r="M83" s="20">
        <f t="shared" si="4"/>
        <v>1272.18</v>
      </c>
      <c r="N83" s="20">
        <f>Tabla1[[#This Row],[Venta Total (USD)]] - Tabla1[[#This Row],[Costo Total (USD)]]</f>
        <v>545.22</v>
      </c>
    </row>
    <row r="84" spans="1:14" x14ac:dyDescent="0.25">
      <c r="A84" t="s">
        <v>16</v>
      </c>
      <c r="B84" t="s">
        <v>11</v>
      </c>
      <c r="C84" t="s">
        <v>37</v>
      </c>
      <c r="D84">
        <v>2022</v>
      </c>
      <c r="E84">
        <v>7</v>
      </c>
      <c r="F84">
        <v>12</v>
      </c>
      <c r="G84" s="20">
        <v>393.64</v>
      </c>
      <c r="H84" s="20">
        <f>Tabla1[[#This Row],[Cantidad Vendida]]*Tabla1[[#This Row],[Precio Unitario (USD)]]</f>
        <v>4723.68</v>
      </c>
      <c r="I84" s="21">
        <v>8.44</v>
      </c>
      <c r="J84" s="5">
        <f t="shared" si="5"/>
        <v>39867.859199999999</v>
      </c>
      <c r="K84" t="str">
        <f>IF(Tabla1[[#This Row],[Venta Total (Q)]] = 0, "Sin ventas", "Con ventas")</f>
        <v>Con ventas</v>
      </c>
      <c r="L84" s="20">
        <f t="shared" si="3"/>
        <v>275.54799999999994</v>
      </c>
      <c r="M84" s="20">
        <f t="shared" si="4"/>
        <v>3306.5759999999991</v>
      </c>
      <c r="N84" s="20">
        <f>Tabla1[[#This Row],[Venta Total (USD)]] - Tabla1[[#This Row],[Costo Total (USD)]]</f>
        <v>1417.1040000000012</v>
      </c>
    </row>
    <row r="85" spans="1:14" x14ac:dyDescent="0.25">
      <c r="A85" t="s">
        <v>20</v>
      </c>
      <c r="B85" t="s">
        <v>17</v>
      </c>
      <c r="C85" t="s">
        <v>18</v>
      </c>
      <c r="D85">
        <v>2024</v>
      </c>
      <c r="E85">
        <v>9</v>
      </c>
      <c r="F85">
        <v>16</v>
      </c>
      <c r="G85" s="20">
        <v>334.71</v>
      </c>
      <c r="H85" s="20">
        <f>Tabla1[[#This Row],[Cantidad Vendida]]*Tabla1[[#This Row],[Precio Unitario (USD)]]</f>
        <v>5355.36</v>
      </c>
      <c r="I85" s="21">
        <v>7.92</v>
      </c>
      <c r="J85" s="5">
        <f t="shared" si="5"/>
        <v>42414.451199999996</v>
      </c>
      <c r="K85" t="str">
        <f>IF(Tabla1[[#This Row],[Venta Total (Q)]] = 0, "Sin ventas", "Con ventas")</f>
        <v>Con ventas</v>
      </c>
      <c r="L85" s="20">
        <f t="shared" si="3"/>
        <v>234.29699999999997</v>
      </c>
      <c r="M85" s="20">
        <f t="shared" si="4"/>
        <v>3748.7519999999995</v>
      </c>
      <c r="N85" s="20">
        <f>Tabla1[[#This Row],[Venta Total (USD)]] - Tabla1[[#This Row],[Costo Total (USD)]]</f>
        <v>1606.6080000000002</v>
      </c>
    </row>
    <row r="86" spans="1:14" x14ac:dyDescent="0.25">
      <c r="A86" t="s">
        <v>10</v>
      </c>
      <c r="B86" t="s">
        <v>17</v>
      </c>
      <c r="C86" t="s">
        <v>19</v>
      </c>
      <c r="D86">
        <v>2023</v>
      </c>
      <c r="E86">
        <v>4</v>
      </c>
      <c r="F86">
        <v>3</v>
      </c>
      <c r="G86" s="20">
        <v>390.38</v>
      </c>
      <c r="H86" s="20">
        <f>Tabla1[[#This Row],[Cantidad Vendida]]*Tabla1[[#This Row],[Precio Unitario (USD)]]</f>
        <v>1171.1399999999999</v>
      </c>
      <c r="I86" s="21">
        <v>8.17</v>
      </c>
      <c r="J86" s="5">
        <f t="shared" si="5"/>
        <v>9568.2137999999995</v>
      </c>
      <c r="K86" t="str">
        <f>IF(Tabla1[[#This Row],[Venta Total (Q)]] = 0, "Sin ventas", "Con ventas")</f>
        <v>Con ventas</v>
      </c>
      <c r="L86" s="20">
        <f t="shared" si="3"/>
        <v>273.26599999999996</v>
      </c>
      <c r="M86" s="20">
        <f t="shared" si="4"/>
        <v>819.79799999999989</v>
      </c>
      <c r="N86" s="20">
        <f>Tabla1[[#This Row],[Venta Total (USD)]] - Tabla1[[#This Row],[Costo Total (USD)]]</f>
        <v>351.34199999999998</v>
      </c>
    </row>
    <row r="87" spans="1:14" x14ac:dyDescent="0.25">
      <c r="A87" t="s">
        <v>10</v>
      </c>
      <c r="B87" t="s">
        <v>28</v>
      </c>
      <c r="C87" t="s">
        <v>38</v>
      </c>
      <c r="D87">
        <v>2024</v>
      </c>
      <c r="E87">
        <v>7</v>
      </c>
      <c r="F87">
        <v>2</v>
      </c>
      <c r="G87" s="20">
        <v>95.4</v>
      </c>
      <c r="H87" s="20">
        <f>Tabla1[[#This Row],[Cantidad Vendida]]*Tabla1[[#This Row],[Precio Unitario (USD)]]</f>
        <v>190.8</v>
      </c>
      <c r="I87" s="21">
        <v>8.43</v>
      </c>
      <c r="J87" s="5">
        <f t="shared" si="5"/>
        <v>1608.444</v>
      </c>
      <c r="K87" t="str">
        <f>IF(Tabla1[[#This Row],[Venta Total (Q)]] = 0, "Sin ventas", "Con ventas")</f>
        <v>Con ventas</v>
      </c>
      <c r="L87" s="20">
        <f t="shared" si="3"/>
        <v>66.78</v>
      </c>
      <c r="M87" s="20">
        <f t="shared" si="4"/>
        <v>133.56</v>
      </c>
      <c r="N87" s="20">
        <f>Tabla1[[#This Row],[Venta Total (USD)]] - Tabla1[[#This Row],[Costo Total (USD)]]</f>
        <v>57.240000000000009</v>
      </c>
    </row>
    <row r="88" spans="1:14" x14ac:dyDescent="0.25">
      <c r="A88" t="s">
        <v>20</v>
      </c>
      <c r="B88" t="s">
        <v>17</v>
      </c>
      <c r="C88" t="s">
        <v>19</v>
      </c>
      <c r="D88">
        <v>2023</v>
      </c>
      <c r="E88">
        <v>8</v>
      </c>
      <c r="F88">
        <v>1</v>
      </c>
      <c r="G88" s="20">
        <v>325.13</v>
      </c>
      <c r="H88" s="20">
        <f>Tabla1[[#This Row],[Cantidad Vendida]]*Tabla1[[#This Row],[Precio Unitario (USD)]]</f>
        <v>325.13</v>
      </c>
      <c r="I88" s="21">
        <v>7.51</v>
      </c>
      <c r="J88" s="5">
        <f t="shared" si="5"/>
        <v>2441.7262999999998</v>
      </c>
      <c r="K88" t="str">
        <f>IF(Tabla1[[#This Row],[Venta Total (Q)]] = 0, "Sin ventas", "Con ventas")</f>
        <v>Con ventas</v>
      </c>
      <c r="L88" s="20">
        <f t="shared" si="3"/>
        <v>227.59099999999998</v>
      </c>
      <c r="M88" s="20">
        <f t="shared" si="4"/>
        <v>227.59099999999998</v>
      </c>
      <c r="N88" s="20">
        <f>Tabla1[[#This Row],[Venta Total (USD)]] - Tabla1[[#This Row],[Costo Total (USD)]]</f>
        <v>97.539000000000016</v>
      </c>
    </row>
    <row r="89" spans="1:14" x14ac:dyDescent="0.25">
      <c r="A89" t="s">
        <v>10</v>
      </c>
      <c r="B89" t="s">
        <v>13</v>
      </c>
      <c r="C89" t="s">
        <v>27</v>
      </c>
      <c r="D89">
        <v>2023</v>
      </c>
      <c r="E89">
        <v>10</v>
      </c>
      <c r="F89">
        <v>6</v>
      </c>
      <c r="G89" s="20">
        <v>331.73</v>
      </c>
      <c r="H89" s="20">
        <f>Tabla1[[#This Row],[Cantidad Vendida]]*Tabla1[[#This Row],[Precio Unitario (USD)]]</f>
        <v>1990.38</v>
      </c>
      <c r="I89" s="21">
        <v>8.06</v>
      </c>
      <c r="J89" s="5">
        <f t="shared" si="5"/>
        <v>16042.462800000001</v>
      </c>
      <c r="K89" t="str">
        <f>IF(Tabla1[[#This Row],[Venta Total (Q)]] = 0, "Sin ventas", "Con ventas")</f>
        <v>Con ventas</v>
      </c>
      <c r="L89" s="20">
        <f t="shared" si="3"/>
        <v>232.21099999999998</v>
      </c>
      <c r="M89" s="20">
        <f t="shared" si="4"/>
        <v>1393.2659999999998</v>
      </c>
      <c r="N89" s="20">
        <f>Tabla1[[#This Row],[Venta Total (USD)]] - Tabla1[[#This Row],[Costo Total (USD)]]</f>
        <v>597.11400000000026</v>
      </c>
    </row>
    <row r="90" spans="1:14" x14ac:dyDescent="0.25">
      <c r="A90" t="s">
        <v>31</v>
      </c>
      <c r="B90" t="s">
        <v>28</v>
      </c>
      <c r="C90" t="s">
        <v>39</v>
      </c>
      <c r="D90">
        <v>2023</v>
      </c>
      <c r="E90">
        <v>3</v>
      </c>
      <c r="F90">
        <v>14</v>
      </c>
      <c r="G90" s="20">
        <v>79.94</v>
      </c>
      <c r="H90" s="20">
        <f>Tabla1[[#This Row],[Cantidad Vendida]]*Tabla1[[#This Row],[Precio Unitario (USD)]]</f>
        <v>1119.1599999999999</v>
      </c>
      <c r="I90" s="21">
        <v>8.41</v>
      </c>
      <c r="J90" s="5">
        <f t="shared" si="5"/>
        <v>9412.1355999999996</v>
      </c>
      <c r="K90" t="str">
        <f>IF(Tabla1[[#This Row],[Venta Total (Q)]] = 0, "Sin ventas", "Con ventas")</f>
        <v>Con ventas</v>
      </c>
      <c r="L90" s="20">
        <f t="shared" si="3"/>
        <v>55.957999999999998</v>
      </c>
      <c r="M90" s="20">
        <f t="shared" si="4"/>
        <v>783.41200000000003</v>
      </c>
      <c r="N90" s="20">
        <f>Tabla1[[#This Row],[Venta Total (USD)]] - Tabla1[[#This Row],[Costo Total (USD)]]</f>
        <v>335.74799999999982</v>
      </c>
    </row>
    <row r="91" spans="1:14" x14ac:dyDescent="0.25">
      <c r="A91" t="s">
        <v>20</v>
      </c>
      <c r="B91" t="s">
        <v>17</v>
      </c>
      <c r="C91" t="s">
        <v>19</v>
      </c>
      <c r="D91">
        <v>2023</v>
      </c>
      <c r="E91">
        <v>1</v>
      </c>
      <c r="F91">
        <v>1</v>
      </c>
      <c r="G91" s="20">
        <v>234.91</v>
      </c>
      <c r="H91" s="20">
        <f>Tabla1[[#This Row],[Cantidad Vendida]]*Tabla1[[#This Row],[Precio Unitario (USD)]]</f>
        <v>234.91</v>
      </c>
      <c r="I91" s="21">
        <v>8.33</v>
      </c>
      <c r="J91" s="5">
        <f t="shared" si="5"/>
        <v>1956.8002999999999</v>
      </c>
      <c r="K91" t="str">
        <f>IF(Tabla1[[#This Row],[Venta Total (Q)]] = 0, "Sin ventas", "Con ventas")</f>
        <v>Con ventas</v>
      </c>
      <c r="L91" s="20">
        <f t="shared" si="3"/>
        <v>164.43699999999998</v>
      </c>
      <c r="M91" s="20">
        <f t="shared" si="4"/>
        <v>164.43699999999998</v>
      </c>
      <c r="N91" s="20">
        <f>Tabla1[[#This Row],[Venta Total (USD)]] - Tabla1[[#This Row],[Costo Total (USD)]]</f>
        <v>70.473000000000013</v>
      </c>
    </row>
    <row r="92" spans="1:14" x14ac:dyDescent="0.25">
      <c r="A92" t="s">
        <v>20</v>
      </c>
      <c r="B92" t="s">
        <v>11</v>
      </c>
      <c r="C92" t="s">
        <v>23</v>
      </c>
      <c r="D92">
        <v>2025</v>
      </c>
      <c r="E92">
        <v>3</v>
      </c>
      <c r="F92">
        <v>16</v>
      </c>
      <c r="G92" s="20">
        <v>182.4</v>
      </c>
      <c r="H92" s="20">
        <f>Tabla1[[#This Row],[Cantidad Vendida]]*Tabla1[[#This Row],[Precio Unitario (USD)]]</f>
        <v>2918.4</v>
      </c>
      <c r="I92" s="21">
        <v>8.07</v>
      </c>
      <c r="J92" s="5">
        <f t="shared" si="5"/>
        <v>23551.488000000001</v>
      </c>
      <c r="K92" t="str">
        <f>IF(Tabla1[[#This Row],[Venta Total (Q)]] = 0, "Sin ventas", "Con ventas")</f>
        <v>Con ventas</v>
      </c>
      <c r="L92" s="20">
        <f t="shared" si="3"/>
        <v>127.67999999999999</v>
      </c>
      <c r="M92" s="20">
        <f t="shared" si="4"/>
        <v>2042.8799999999999</v>
      </c>
      <c r="N92" s="20">
        <f>Tabla1[[#This Row],[Venta Total (USD)]] - Tabla1[[#This Row],[Costo Total (USD)]]</f>
        <v>875.52000000000021</v>
      </c>
    </row>
    <row r="93" spans="1:14" x14ac:dyDescent="0.25">
      <c r="A93" t="s">
        <v>15</v>
      </c>
      <c r="B93" t="s">
        <v>13</v>
      </c>
      <c r="C93" t="s">
        <v>36</v>
      </c>
      <c r="D93">
        <v>2022</v>
      </c>
      <c r="E93">
        <v>2</v>
      </c>
      <c r="F93">
        <v>2</v>
      </c>
      <c r="G93" s="20">
        <v>134.41999999999999</v>
      </c>
      <c r="H93" s="20">
        <f>Tabla1[[#This Row],[Cantidad Vendida]]*Tabla1[[#This Row],[Precio Unitario (USD)]]</f>
        <v>268.83999999999997</v>
      </c>
      <c r="I93" s="21">
        <v>7.58</v>
      </c>
      <c r="J93" s="5">
        <f t="shared" si="5"/>
        <v>2037.8071999999997</v>
      </c>
      <c r="K93" t="str">
        <f>IF(Tabla1[[#This Row],[Venta Total (Q)]] = 0, "Sin ventas", "Con ventas")</f>
        <v>Con ventas</v>
      </c>
      <c r="L93" s="20">
        <f t="shared" si="3"/>
        <v>94.09399999999998</v>
      </c>
      <c r="M93" s="20">
        <f t="shared" si="4"/>
        <v>188.18799999999996</v>
      </c>
      <c r="N93" s="20">
        <f>Tabla1[[#This Row],[Venta Total (USD)]] - Tabla1[[#This Row],[Costo Total (USD)]]</f>
        <v>80.652000000000015</v>
      </c>
    </row>
    <row r="94" spans="1:14" x14ac:dyDescent="0.25">
      <c r="A94" t="s">
        <v>31</v>
      </c>
      <c r="B94" t="s">
        <v>21</v>
      </c>
      <c r="C94" t="s">
        <v>32</v>
      </c>
      <c r="D94">
        <v>2022</v>
      </c>
      <c r="E94">
        <v>5</v>
      </c>
      <c r="F94">
        <v>3</v>
      </c>
      <c r="G94" s="20">
        <v>355.61</v>
      </c>
      <c r="H94" s="20">
        <f>Tabla1[[#This Row],[Cantidad Vendida]]*Tabla1[[#This Row],[Precio Unitario (USD)]]</f>
        <v>1066.83</v>
      </c>
      <c r="I94" s="21">
        <v>7.51</v>
      </c>
      <c r="J94" s="5">
        <f t="shared" si="5"/>
        <v>8011.8932999999988</v>
      </c>
      <c r="K94" t="str">
        <f>IF(Tabla1[[#This Row],[Venta Total (Q)]] = 0, "Sin ventas", "Con ventas")</f>
        <v>Con ventas</v>
      </c>
      <c r="L94" s="20">
        <f t="shared" si="3"/>
        <v>248.92699999999999</v>
      </c>
      <c r="M94" s="20">
        <f t="shared" si="4"/>
        <v>746.78099999999995</v>
      </c>
      <c r="N94" s="20">
        <f>Tabla1[[#This Row],[Venta Total (USD)]] - Tabla1[[#This Row],[Costo Total (USD)]]</f>
        <v>320.04899999999998</v>
      </c>
    </row>
    <row r="95" spans="1:14" x14ac:dyDescent="0.25">
      <c r="A95" t="s">
        <v>35</v>
      </c>
      <c r="B95" t="s">
        <v>21</v>
      </c>
      <c r="C95" t="s">
        <v>22</v>
      </c>
      <c r="D95">
        <v>2025</v>
      </c>
      <c r="E95">
        <v>11</v>
      </c>
      <c r="F95">
        <v>9</v>
      </c>
      <c r="G95" s="20">
        <v>325.37</v>
      </c>
      <c r="H95" s="20">
        <f>Tabla1[[#This Row],[Cantidad Vendida]]*Tabla1[[#This Row],[Precio Unitario (USD)]]</f>
        <v>2928.33</v>
      </c>
      <c r="I95" s="21">
        <v>8.48</v>
      </c>
      <c r="J95" s="5">
        <f t="shared" si="5"/>
        <v>24832.238400000002</v>
      </c>
      <c r="K95" t="str">
        <f>IF(Tabla1[[#This Row],[Venta Total (Q)]] = 0, "Sin ventas", "Con ventas")</f>
        <v>Con ventas</v>
      </c>
      <c r="L95" s="20">
        <f t="shared" si="3"/>
        <v>227.75899999999999</v>
      </c>
      <c r="M95" s="20">
        <f t="shared" si="4"/>
        <v>2049.8309999999997</v>
      </c>
      <c r="N95" s="20">
        <f>Tabla1[[#This Row],[Venta Total (USD)]] - Tabla1[[#This Row],[Costo Total (USD)]]</f>
        <v>878.49900000000025</v>
      </c>
    </row>
    <row r="96" spans="1:14" x14ac:dyDescent="0.25">
      <c r="A96" t="s">
        <v>15</v>
      </c>
      <c r="B96" t="s">
        <v>28</v>
      </c>
      <c r="C96" t="s">
        <v>39</v>
      </c>
      <c r="D96">
        <v>2025</v>
      </c>
      <c r="E96">
        <v>9</v>
      </c>
      <c r="F96">
        <v>5</v>
      </c>
      <c r="G96" s="20">
        <v>123.98</v>
      </c>
      <c r="H96" s="20">
        <f>Tabla1[[#This Row],[Cantidad Vendida]]*Tabla1[[#This Row],[Precio Unitario (USD)]]</f>
        <v>619.9</v>
      </c>
      <c r="I96" s="21">
        <v>8.14</v>
      </c>
      <c r="J96" s="5">
        <f t="shared" si="5"/>
        <v>5045.9859999999999</v>
      </c>
      <c r="K96" t="str">
        <f>IF(Tabla1[[#This Row],[Venta Total (Q)]] = 0, "Sin ventas", "Con ventas")</f>
        <v>Con ventas</v>
      </c>
      <c r="L96" s="20">
        <f t="shared" si="3"/>
        <v>86.786000000000001</v>
      </c>
      <c r="M96" s="20">
        <f t="shared" si="4"/>
        <v>433.93</v>
      </c>
      <c r="N96" s="20">
        <f>Tabla1[[#This Row],[Venta Total (USD)]] - Tabla1[[#This Row],[Costo Total (USD)]]</f>
        <v>185.96999999999997</v>
      </c>
    </row>
    <row r="97" spans="1:14" x14ac:dyDescent="0.25">
      <c r="A97" t="s">
        <v>15</v>
      </c>
      <c r="B97" t="s">
        <v>13</v>
      </c>
      <c r="C97" t="s">
        <v>27</v>
      </c>
      <c r="D97">
        <v>2024</v>
      </c>
      <c r="E97">
        <v>10</v>
      </c>
      <c r="F97">
        <v>17</v>
      </c>
      <c r="G97" s="20">
        <v>58.6</v>
      </c>
      <c r="H97" s="20">
        <f>Tabla1[[#This Row],[Cantidad Vendida]]*Tabla1[[#This Row],[Precio Unitario (USD)]]</f>
        <v>996.2</v>
      </c>
      <c r="I97" s="21">
        <v>7.9</v>
      </c>
      <c r="J97" s="5">
        <f t="shared" si="5"/>
        <v>7869.9800000000005</v>
      </c>
      <c r="K97" t="str">
        <f>IF(Tabla1[[#This Row],[Venta Total (Q)]] = 0, "Sin ventas", "Con ventas")</f>
        <v>Con ventas</v>
      </c>
      <c r="L97" s="20">
        <f t="shared" si="3"/>
        <v>41.019999999999996</v>
      </c>
      <c r="M97" s="20">
        <f t="shared" si="4"/>
        <v>697.33999999999992</v>
      </c>
      <c r="N97" s="20">
        <f>Tabla1[[#This Row],[Venta Total (USD)]] - Tabla1[[#This Row],[Costo Total (USD)]]</f>
        <v>298.86000000000013</v>
      </c>
    </row>
    <row r="98" spans="1:14" x14ac:dyDescent="0.25">
      <c r="A98" t="s">
        <v>16</v>
      </c>
      <c r="B98" t="s">
        <v>13</v>
      </c>
      <c r="C98" t="s">
        <v>36</v>
      </c>
      <c r="D98">
        <v>2022</v>
      </c>
      <c r="E98">
        <v>6</v>
      </c>
      <c r="F98">
        <v>9</v>
      </c>
      <c r="G98" s="20">
        <v>57.16</v>
      </c>
      <c r="H98" s="20">
        <f>Tabla1[[#This Row],[Cantidad Vendida]]*Tabla1[[#This Row],[Precio Unitario (USD)]]</f>
        <v>514.43999999999994</v>
      </c>
      <c r="I98" s="21">
        <v>8.2799999999999994</v>
      </c>
      <c r="J98" s="5">
        <f t="shared" si="5"/>
        <v>4259.5631999999996</v>
      </c>
      <c r="K98" t="str">
        <f>IF(Tabla1[[#This Row],[Venta Total (Q)]] = 0, "Sin ventas", "Con ventas")</f>
        <v>Con ventas</v>
      </c>
      <c r="L98" s="20">
        <f t="shared" si="3"/>
        <v>40.011999999999993</v>
      </c>
      <c r="M98" s="20">
        <f t="shared" si="4"/>
        <v>360.10799999999995</v>
      </c>
      <c r="N98" s="20">
        <f>Tabla1[[#This Row],[Venta Total (USD)]] - Tabla1[[#This Row],[Costo Total (USD)]]</f>
        <v>154.33199999999999</v>
      </c>
    </row>
    <row r="99" spans="1:14" x14ac:dyDescent="0.25">
      <c r="A99" t="s">
        <v>35</v>
      </c>
      <c r="B99" t="s">
        <v>21</v>
      </c>
      <c r="C99" t="s">
        <v>22</v>
      </c>
      <c r="D99">
        <v>2025</v>
      </c>
      <c r="E99">
        <v>10</v>
      </c>
      <c r="F99">
        <v>6</v>
      </c>
      <c r="G99" s="20">
        <v>112.75</v>
      </c>
      <c r="H99" s="20">
        <f>Tabla1[[#This Row],[Cantidad Vendida]]*Tabla1[[#This Row],[Precio Unitario (USD)]]</f>
        <v>676.5</v>
      </c>
      <c r="I99" s="21">
        <v>7.63</v>
      </c>
      <c r="J99" s="5">
        <f t="shared" si="5"/>
        <v>5161.6949999999997</v>
      </c>
      <c r="K99" t="str">
        <f>IF(Tabla1[[#This Row],[Venta Total (Q)]] = 0, "Sin ventas", "Con ventas")</f>
        <v>Con ventas</v>
      </c>
      <c r="L99" s="20">
        <f t="shared" si="3"/>
        <v>78.924999999999997</v>
      </c>
      <c r="M99" s="20">
        <f t="shared" si="4"/>
        <v>473.54999999999995</v>
      </c>
      <c r="N99" s="20">
        <f>Tabla1[[#This Row],[Venta Total (USD)]] - Tabla1[[#This Row],[Costo Total (USD)]]</f>
        <v>202.95000000000005</v>
      </c>
    </row>
    <row r="100" spans="1:14" x14ac:dyDescent="0.25">
      <c r="A100" t="s">
        <v>15</v>
      </c>
      <c r="B100" t="s">
        <v>13</v>
      </c>
      <c r="C100" t="s">
        <v>27</v>
      </c>
      <c r="D100">
        <v>2024</v>
      </c>
      <c r="E100">
        <v>9</v>
      </c>
      <c r="F100">
        <v>1</v>
      </c>
      <c r="G100" s="20">
        <v>393.12</v>
      </c>
      <c r="H100" s="20">
        <f>Tabla1[[#This Row],[Cantidad Vendida]]*Tabla1[[#This Row],[Precio Unitario (USD)]]</f>
        <v>393.12</v>
      </c>
      <c r="I100" s="21">
        <v>7.9</v>
      </c>
      <c r="J100" s="5">
        <f t="shared" si="5"/>
        <v>3105.6480000000001</v>
      </c>
      <c r="K100" t="str">
        <f>IF(Tabla1[[#This Row],[Venta Total (Q)]] = 0, "Sin ventas", "Con ventas")</f>
        <v>Con ventas</v>
      </c>
      <c r="L100" s="20">
        <f t="shared" si="3"/>
        <v>275.18399999999997</v>
      </c>
      <c r="M100" s="20">
        <f t="shared" si="4"/>
        <v>275.18399999999997</v>
      </c>
      <c r="N100" s="20">
        <f>Tabla1[[#This Row],[Venta Total (USD)]] - Tabla1[[#This Row],[Costo Total (USD)]]</f>
        <v>117.93600000000004</v>
      </c>
    </row>
    <row r="101" spans="1:14" x14ac:dyDescent="0.25">
      <c r="A101" t="s">
        <v>10</v>
      </c>
      <c r="B101" t="s">
        <v>13</v>
      </c>
      <c r="C101" t="s">
        <v>30</v>
      </c>
      <c r="D101">
        <v>2025</v>
      </c>
      <c r="E101">
        <v>9</v>
      </c>
      <c r="F101">
        <v>20</v>
      </c>
      <c r="G101" s="20">
        <v>276.39</v>
      </c>
      <c r="H101" s="20">
        <f>Tabla1[[#This Row],[Cantidad Vendida]]*Tabla1[[#This Row],[Precio Unitario (USD)]]</f>
        <v>5527.7999999999993</v>
      </c>
      <c r="I101" s="21">
        <v>8.1</v>
      </c>
      <c r="J101" s="5">
        <f t="shared" si="5"/>
        <v>44775.179999999993</v>
      </c>
      <c r="K101" t="str">
        <f>IF(Tabla1[[#This Row],[Venta Total (Q)]] = 0, "Sin ventas", "Con ventas")</f>
        <v>Con ventas</v>
      </c>
      <c r="L101" s="20">
        <f t="shared" si="3"/>
        <v>193.47299999999998</v>
      </c>
      <c r="M101" s="20">
        <f t="shared" si="4"/>
        <v>3869.4599999999996</v>
      </c>
      <c r="N101" s="20">
        <f>Tabla1[[#This Row],[Venta Total (USD)]] - Tabla1[[#This Row],[Costo Total (USD)]]</f>
        <v>1658.3399999999997</v>
      </c>
    </row>
    <row r="102" spans="1:14" x14ac:dyDescent="0.25">
      <c r="A102" t="s">
        <v>20</v>
      </c>
      <c r="B102" t="s">
        <v>17</v>
      </c>
      <c r="C102" t="s">
        <v>26</v>
      </c>
      <c r="D102">
        <v>2022</v>
      </c>
      <c r="E102">
        <v>8</v>
      </c>
      <c r="F102">
        <v>8</v>
      </c>
      <c r="G102" s="20">
        <v>385.9</v>
      </c>
      <c r="H102" s="20">
        <f>Tabla1[[#This Row],[Cantidad Vendida]]*Tabla1[[#This Row],[Precio Unitario (USD)]]</f>
        <v>3087.2</v>
      </c>
      <c r="I102" s="21">
        <v>7.68</v>
      </c>
      <c r="J102" s="5">
        <f t="shared" si="5"/>
        <v>23709.695999999996</v>
      </c>
      <c r="K102" t="str">
        <f>IF(Tabla1[[#This Row],[Venta Total (Q)]] = 0, "Sin ventas", "Con ventas")</f>
        <v>Con ventas</v>
      </c>
      <c r="L102" s="20">
        <f t="shared" si="3"/>
        <v>270.12999999999994</v>
      </c>
      <c r="M102" s="20">
        <f t="shared" si="4"/>
        <v>2161.0399999999995</v>
      </c>
      <c r="N102" s="20">
        <f>Tabla1[[#This Row],[Venta Total (USD)]] - Tabla1[[#This Row],[Costo Total (USD)]]</f>
        <v>926.16000000000031</v>
      </c>
    </row>
    <row r="103" spans="1:14" x14ac:dyDescent="0.25">
      <c r="A103" t="s">
        <v>10</v>
      </c>
      <c r="B103" t="s">
        <v>17</v>
      </c>
      <c r="C103" t="s">
        <v>26</v>
      </c>
      <c r="D103">
        <v>2023</v>
      </c>
      <c r="E103">
        <v>2</v>
      </c>
      <c r="F103">
        <v>18</v>
      </c>
      <c r="G103" s="20">
        <v>308.31</v>
      </c>
      <c r="H103" s="20">
        <f>Tabla1[[#This Row],[Cantidad Vendida]]*Tabla1[[#This Row],[Precio Unitario (USD)]]</f>
        <v>5549.58</v>
      </c>
      <c r="I103" s="21">
        <v>7.86</v>
      </c>
      <c r="J103" s="5">
        <f t="shared" si="5"/>
        <v>43619.698799999998</v>
      </c>
      <c r="K103" t="str">
        <f>IF(Tabla1[[#This Row],[Venta Total (Q)]] = 0, "Sin ventas", "Con ventas")</f>
        <v>Con ventas</v>
      </c>
      <c r="L103" s="20">
        <f t="shared" si="3"/>
        <v>215.81699999999998</v>
      </c>
      <c r="M103" s="20">
        <f t="shared" si="4"/>
        <v>3884.7059999999997</v>
      </c>
      <c r="N103" s="20">
        <f>Tabla1[[#This Row],[Venta Total (USD)]] - Tabla1[[#This Row],[Costo Total (USD)]]</f>
        <v>1664.8740000000003</v>
      </c>
    </row>
    <row r="104" spans="1:14" x14ac:dyDescent="0.25">
      <c r="A104" t="s">
        <v>35</v>
      </c>
      <c r="B104" t="s">
        <v>21</v>
      </c>
      <c r="C104" t="s">
        <v>22</v>
      </c>
      <c r="D104">
        <v>2022</v>
      </c>
      <c r="E104">
        <v>6</v>
      </c>
      <c r="F104">
        <v>7</v>
      </c>
      <c r="G104" s="20">
        <v>383.04</v>
      </c>
      <c r="H104" s="20">
        <f>Tabla1[[#This Row],[Cantidad Vendida]]*Tabla1[[#This Row],[Precio Unitario (USD)]]</f>
        <v>2681.28</v>
      </c>
      <c r="I104" s="21">
        <v>7.69</v>
      </c>
      <c r="J104" s="5">
        <f t="shared" si="5"/>
        <v>20619.043200000004</v>
      </c>
      <c r="K104" t="str">
        <f>IF(Tabla1[[#This Row],[Venta Total (Q)]] = 0, "Sin ventas", "Con ventas")</f>
        <v>Con ventas</v>
      </c>
      <c r="L104" s="20">
        <f t="shared" si="3"/>
        <v>268.12799999999999</v>
      </c>
      <c r="M104" s="20">
        <f t="shared" si="4"/>
        <v>1876.896</v>
      </c>
      <c r="N104" s="20">
        <f>Tabla1[[#This Row],[Venta Total (USD)]] - Tabla1[[#This Row],[Costo Total (USD)]]</f>
        <v>804.38400000000024</v>
      </c>
    </row>
    <row r="105" spans="1:14" x14ac:dyDescent="0.25">
      <c r="A105" t="s">
        <v>20</v>
      </c>
      <c r="B105" t="s">
        <v>21</v>
      </c>
      <c r="C105" t="s">
        <v>34</v>
      </c>
      <c r="D105">
        <v>2023</v>
      </c>
      <c r="E105">
        <v>3</v>
      </c>
      <c r="F105">
        <v>7</v>
      </c>
      <c r="G105" s="20">
        <v>455.76</v>
      </c>
      <c r="H105" s="20">
        <f>Tabla1[[#This Row],[Cantidad Vendida]]*Tabla1[[#This Row],[Precio Unitario (USD)]]</f>
        <v>3190.3199999999997</v>
      </c>
      <c r="I105" s="21">
        <v>8.31</v>
      </c>
      <c r="J105" s="5">
        <f t="shared" si="5"/>
        <v>26511.5592</v>
      </c>
      <c r="K105" t="str">
        <f>IF(Tabla1[[#This Row],[Venta Total (Q)]] = 0, "Sin ventas", "Con ventas")</f>
        <v>Con ventas</v>
      </c>
      <c r="L105" s="20">
        <f t="shared" si="3"/>
        <v>319.03199999999998</v>
      </c>
      <c r="M105" s="20">
        <f t="shared" si="4"/>
        <v>2233.2239999999997</v>
      </c>
      <c r="N105" s="20">
        <f>Tabla1[[#This Row],[Venta Total (USD)]] - Tabla1[[#This Row],[Costo Total (USD)]]</f>
        <v>957.096</v>
      </c>
    </row>
    <row r="106" spans="1:14" x14ac:dyDescent="0.25">
      <c r="A106" t="s">
        <v>16</v>
      </c>
      <c r="B106" t="s">
        <v>21</v>
      </c>
      <c r="C106" t="s">
        <v>24</v>
      </c>
      <c r="D106">
        <v>2023</v>
      </c>
      <c r="E106">
        <v>10</v>
      </c>
      <c r="F106">
        <v>15</v>
      </c>
      <c r="G106" s="20">
        <v>257.58</v>
      </c>
      <c r="H106" s="20">
        <f>Tabla1[[#This Row],[Cantidad Vendida]]*Tabla1[[#This Row],[Precio Unitario (USD)]]</f>
        <v>3863.7</v>
      </c>
      <c r="I106" s="21">
        <v>7.58</v>
      </c>
      <c r="J106" s="5">
        <f t="shared" si="5"/>
        <v>29286.845999999998</v>
      </c>
      <c r="K106" t="str">
        <f>IF(Tabla1[[#This Row],[Venta Total (Q)]] = 0, "Sin ventas", "Con ventas")</f>
        <v>Con ventas</v>
      </c>
      <c r="L106" s="20">
        <f t="shared" si="3"/>
        <v>180.30599999999998</v>
      </c>
      <c r="M106" s="20">
        <f t="shared" si="4"/>
        <v>2704.5899999999997</v>
      </c>
      <c r="N106" s="20">
        <f>Tabla1[[#This Row],[Venta Total (USD)]] - Tabla1[[#This Row],[Costo Total (USD)]]</f>
        <v>1159.1100000000001</v>
      </c>
    </row>
    <row r="107" spans="1:14" x14ac:dyDescent="0.25">
      <c r="A107" t="s">
        <v>35</v>
      </c>
      <c r="B107" t="s">
        <v>11</v>
      </c>
      <c r="C107" t="s">
        <v>12</v>
      </c>
      <c r="D107">
        <v>2024</v>
      </c>
      <c r="E107">
        <v>5</v>
      </c>
      <c r="F107">
        <v>18</v>
      </c>
      <c r="G107" s="20">
        <v>102.31</v>
      </c>
      <c r="H107" s="20">
        <f>Tabla1[[#This Row],[Cantidad Vendida]]*Tabla1[[#This Row],[Precio Unitario (USD)]]</f>
        <v>1841.58</v>
      </c>
      <c r="I107" s="21">
        <v>7.6</v>
      </c>
      <c r="J107" s="5">
        <f t="shared" si="5"/>
        <v>13996.007999999998</v>
      </c>
      <c r="K107" t="str">
        <f>IF(Tabla1[[#This Row],[Venta Total (Q)]] = 0, "Sin ventas", "Con ventas")</f>
        <v>Con ventas</v>
      </c>
      <c r="L107" s="20">
        <f t="shared" si="3"/>
        <v>71.61699999999999</v>
      </c>
      <c r="M107" s="20">
        <f t="shared" si="4"/>
        <v>1289.1059999999998</v>
      </c>
      <c r="N107" s="20">
        <f>Tabla1[[#This Row],[Venta Total (USD)]] - Tabla1[[#This Row],[Costo Total (USD)]]</f>
        <v>552.47400000000016</v>
      </c>
    </row>
    <row r="108" spans="1:14" x14ac:dyDescent="0.25">
      <c r="A108" t="s">
        <v>35</v>
      </c>
      <c r="B108" t="s">
        <v>13</v>
      </c>
      <c r="C108" t="s">
        <v>14</v>
      </c>
      <c r="D108">
        <v>2025</v>
      </c>
      <c r="E108">
        <v>9</v>
      </c>
      <c r="F108">
        <v>18</v>
      </c>
      <c r="G108" s="20">
        <v>458.43</v>
      </c>
      <c r="H108" s="20">
        <f>Tabla1[[#This Row],[Cantidad Vendida]]*Tabla1[[#This Row],[Precio Unitario (USD)]]</f>
        <v>8251.74</v>
      </c>
      <c r="I108" s="21">
        <v>8</v>
      </c>
      <c r="J108" s="5">
        <f t="shared" si="5"/>
        <v>66013.919999999998</v>
      </c>
      <c r="K108" t="str">
        <f>IF(Tabla1[[#This Row],[Venta Total (Q)]] = 0, "Sin ventas", "Con ventas")</f>
        <v>Con ventas</v>
      </c>
      <c r="L108" s="20">
        <f t="shared" si="3"/>
        <v>320.90100000000001</v>
      </c>
      <c r="M108" s="20">
        <f t="shared" si="4"/>
        <v>5776.2179999999998</v>
      </c>
      <c r="N108" s="20">
        <f>Tabla1[[#This Row],[Venta Total (USD)]] - Tabla1[[#This Row],[Costo Total (USD)]]</f>
        <v>2475.5219999999999</v>
      </c>
    </row>
    <row r="109" spans="1:14" x14ac:dyDescent="0.25">
      <c r="A109" t="s">
        <v>20</v>
      </c>
      <c r="B109" t="s">
        <v>11</v>
      </c>
      <c r="C109" t="s">
        <v>23</v>
      </c>
      <c r="D109">
        <v>2025</v>
      </c>
      <c r="E109">
        <v>10</v>
      </c>
      <c r="F109">
        <v>8</v>
      </c>
      <c r="G109" s="20">
        <v>101.72</v>
      </c>
      <c r="H109" s="20">
        <f>Tabla1[[#This Row],[Cantidad Vendida]]*Tabla1[[#This Row],[Precio Unitario (USD)]]</f>
        <v>813.76</v>
      </c>
      <c r="I109" s="21">
        <v>7.96</v>
      </c>
      <c r="J109" s="5">
        <f t="shared" si="5"/>
        <v>6477.5295999999998</v>
      </c>
      <c r="K109" t="str">
        <f>IF(Tabla1[[#This Row],[Venta Total (Q)]] = 0, "Sin ventas", "Con ventas")</f>
        <v>Con ventas</v>
      </c>
      <c r="L109" s="20">
        <f t="shared" si="3"/>
        <v>71.203999999999994</v>
      </c>
      <c r="M109" s="20">
        <f t="shared" si="4"/>
        <v>569.63199999999995</v>
      </c>
      <c r="N109" s="20">
        <f>Tabla1[[#This Row],[Venta Total (USD)]] - Tabla1[[#This Row],[Costo Total (USD)]]</f>
        <v>244.12800000000004</v>
      </c>
    </row>
    <row r="110" spans="1:14" x14ac:dyDescent="0.25">
      <c r="A110" t="s">
        <v>16</v>
      </c>
      <c r="B110" t="s">
        <v>28</v>
      </c>
      <c r="C110" t="s">
        <v>29</v>
      </c>
      <c r="D110">
        <v>2022</v>
      </c>
      <c r="E110">
        <v>4</v>
      </c>
      <c r="F110">
        <v>5</v>
      </c>
      <c r="G110" s="20">
        <v>248.2</v>
      </c>
      <c r="H110" s="20">
        <f>Tabla1[[#This Row],[Cantidad Vendida]]*Tabla1[[#This Row],[Precio Unitario (USD)]]</f>
        <v>1241</v>
      </c>
      <c r="I110" s="21">
        <v>8.06</v>
      </c>
      <c r="J110" s="5">
        <f t="shared" si="5"/>
        <v>10002.460000000001</v>
      </c>
      <c r="K110" t="str">
        <f>IF(Tabla1[[#This Row],[Venta Total (Q)]] = 0, "Sin ventas", "Con ventas")</f>
        <v>Con ventas</v>
      </c>
      <c r="L110" s="20">
        <f t="shared" si="3"/>
        <v>173.73999999999998</v>
      </c>
      <c r="M110" s="20">
        <f t="shared" si="4"/>
        <v>868.69999999999993</v>
      </c>
      <c r="N110" s="20">
        <f>Tabla1[[#This Row],[Venta Total (USD)]] - Tabla1[[#This Row],[Costo Total (USD)]]</f>
        <v>372.30000000000007</v>
      </c>
    </row>
    <row r="111" spans="1:14" x14ac:dyDescent="0.25">
      <c r="A111" t="s">
        <v>10</v>
      </c>
      <c r="B111" t="s">
        <v>13</v>
      </c>
      <c r="C111" t="s">
        <v>14</v>
      </c>
      <c r="D111">
        <v>2023</v>
      </c>
      <c r="E111">
        <v>6</v>
      </c>
      <c r="F111">
        <v>20</v>
      </c>
      <c r="G111" s="20">
        <v>264.74</v>
      </c>
      <c r="H111" s="20">
        <f>Tabla1[[#This Row],[Cantidad Vendida]]*Tabla1[[#This Row],[Precio Unitario (USD)]]</f>
        <v>5294.8</v>
      </c>
      <c r="I111" s="21">
        <v>7.6</v>
      </c>
      <c r="J111" s="5">
        <f t="shared" si="5"/>
        <v>40240.479999999996</v>
      </c>
      <c r="K111" t="str">
        <f>IF(Tabla1[[#This Row],[Venta Total (Q)]] = 0, "Sin ventas", "Con ventas")</f>
        <v>Con ventas</v>
      </c>
      <c r="L111" s="20">
        <f t="shared" si="3"/>
        <v>185.31799999999998</v>
      </c>
      <c r="M111" s="20">
        <f t="shared" si="4"/>
        <v>3706.3599999999997</v>
      </c>
      <c r="N111" s="20">
        <f>Tabla1[[#This Row],[Venta Total (USD)]] - Tabla1[[#This Row],[Costo Total (USD)]]</f>
        <v>1588.4400000000005</v>
      </c>
    </row>
    <row r="112" spans="1:14" x14ac:dyDescent="0.25">
      <c r="A112" t="s">
        <v>35</v>
      </c>
      <c r="B112" t="s">
        <v>17</v>
      </c>
      <c r="C112" t="s">
        <v>26</v>
      </c>
      <c r="D112">
        <v>2023</v>
      </c>
      <c r="E112">
        <v>12</v>
      </c>
      <c r="F112">
        <v>13</v>
      </c>
      <c r="G112" s="20">
        <v>335.72</v>
      </c>
      <c r="H112" s="20">
        <f>Tabla1[[#This Row],[Cantidad Vendida]]*Tabla1[[#This Row],[Precio Unitario (USD)]]</f>
        <v>4364.3600000000006</v>
      </c>
      <c r="I112" s="21">
        <v>7.9</v>
      </c>
      <c r="J112" s="5">
        <f t="shared" si="5"/>
        <v>34478.444000000003</v>
      </c>
      <c r="K112" t="str">
        <f>IF(Tabla1[[#This Row],[Venta Total (Q)]] = 0, "Sin ventas", "Con ventas")</f>
        <v>Con ventas</v>
      </c>
      <c r="L112" s="20">
        <f t="shared" si="3"/>
        <v>235.00399999999999</v>
      </c>
      <c r="M112" s="20">
        <f t="shared" si="4"/>
        <v>3055.0519999999997</v>
      </c>
      <c r="N112" s="20">
        <f>Tabla1[[#This Row],[Venta Total (USD)]] - Tabla1[[#This Row],[Costo Total (USD)]]</f>
        <v>1309.3080000000009</v>
      </c>
    </row>
    <row r="113" spans="1:14" x14ac:dyDescent="0.25">
      <c r="A113" t="s">
        <v>20</v>
      </c>
      <c r="B113" t="s">
        <v>17</v>
      </c>
      <c r="C113" t="s">
        <v>19</v>
      </c>
      <c r="D113">
        <v>2022</v>
      </c>
      <c r="E113">
        <v>10</v>
      </c>
      <c r="F113">
        <v>13</v>
      </c>
      <c r="G113" s="20">
        <v>70.64</v>
      </c>
      <c r="H113" s="20">
        <f>Tabla1[[#This Row],[Cantidad Vendida]]*Tabla1[[#This Row],[Precio Unitario (USD)]]</f>
        <v>918.32</v>
      </c>
      <c r="I113" s="21">
        <v>7.84</v>
      </c>
      <c r="J113" s="5">
        <f t="shared" si="5"/>
        <v>7199.6288000000004</v>
      </c>
      <c r="K113" t="str">
        <f>IF(Tabla1[[#This Row],[Venta Total (Q)]] = 0, "Sin ventas", "Con ventas")</f>
        <v>Con ventas</v>
      </c>
      <c r="L113" s="20">
        <f t="shared" si="3"/>
        <v>49.448</v>
      </c>
      <c r="M113" s="20">
        <f t="shared" si="4"/>
        <v>642.82399999999996</v>
      </c>
      <c r="N113" s="20">
        <f>Tabla1[[#This Row],[Venta Total (USD)]] - Tabla1[[#This Row],[Costo Total (USD)]]</f>
        <v>275.49600000000009</v>
      </c>
    </row>
    <row r="114" spans="1:14" x14ac:dyDescent="0.25">
      <c r="A114" t="s">
        <v>35</v>
      </c>
      <c r="B114" t="s">
        <v>17</v>
      </c>
      <c r="C114" t="s">
        <v>33</v>
      </c>
      <c r="D114">
        <v>2022</v>
      </c>
      <c r="E114">
        <v>1</v>
      </c>
      <c r="F114">
        <v>17</v>
      </c>
      <c r="G114" s="20">
        <v>12.22</v>
      </c>
      <c r="H114" s="20">
        <f>Tabla1[[#This Row],[Cantidad Vendida]]*Tabla1[[#This Row],[Precio Unitario (USD)]]</f>
        <v>207.74</v>
      </c>
      <c r="I114" s="21">
        <v>7.8</v>
      </c>
      <c r="J114" s="5">
        <f t="shared" si="5"/>
        <v>1620.3720000000001</v>
      </c>
      <c r="K114" t="str">
        <f>IF(Tabla1[[#This Row],[Venta Total (Q)]] = 0, "Sin ventas", "Con ventas")</f>
        <v>Con ventas</v>
      </c>
      <c r="L114" s="20">
        <f t="shared" si="3"/>
        <v>8.5540000000000003</v>
      </c>
      <c r="M114" s="20">
        <f t="shared" si="4"/>
        <v>145.41800000000001</v>
      </c>
      <c r="N114" s="20">
        <f>Tabla1[[#This Row],[Venta Total (USD)]] - Tabla1[[#This Row],[Costo Total (USD)]]</f>
        <v>62.322000000000003</v>
      </c>
    </row>
    <row r="115" spans="1:14" x14ac:dyDescent="0.25">
      <c r="A115" t="s">
        <v>31</v>
      </c>
      <c r="B115" t="s">
        <v>28</v>
      </c>
      <c r="C115" t="s">
        <v>29</v>
      </c>
      <c r="D115">
        <v>2023</v>
      </c>
      <c r="E115">
        <v>4</v>
      </c>
      <c r="F115">
        <v>9</v>
      </c>
      <c r="G115" s="20">
        <v>436.65</v>
      </c>
      <c r="H115" s="20">
        <f>Tabla1[[#This Row],[Cantidad Vendida]]*Tabla1[[#This Row],[Precio Unitario (USD)]]</f>
        <v>3929.85</v>
      </c>
      <c r="I115" s="21">
        <v>8.44</v>
      </c>
      <c r="J115" s="5">
        <f t="shared" si="5"/>
        <v>33167.933999999994</v>
      </c>
      <c r="K115" t="str">
        <f>IF(Tabla1[[#This Row],[Venta Total (Q)]] = 0, "Sin ventas", "Con ventas")</f>
        <v>Con ventas</v>
      </c>
      <c r="L115" s="20">
        <f t="shared" si="3"/>
        <v>305.65499999999997</v>
      </c>
      <c r="M115" s="20">
        <f t="shared" si="4"/>
        <v>2750.8949999999995</v>
      </c>
      <c r="N115" s="20">
        <f>Tabla1[[#This Row],[Venta Total (USD)]] - Tabla1[[#This Row],[Costo Total (USD)]]</f>
        <v>1178.9550000000004</v>
      </c>
    </row>
    <row r="116" spans="1:14" x14ac:dyDescent="0.25">
      <c r="A116" t="s">
        <v>10</v>
      </c>
      <c r="B116" t="s">
        <v>17</v>
      </c>
      <c r="C116" t="s">
        <v>19</v>
      </c>
      <c r="D116">
        <v>2022</v>
      </c>
      <c r="E116">
        <v>11</v>
      </c>
      <c r="F116">
        <v>15</v>
      </c>
      <c r="G116" s="20">
        <v>154.4</v>
      </c>
      <c r="H116" s="20">
        <f>Tabla1[[#This Row],[Cantidad Vendida]]*Tabla1[[#This Row],[Precio Unitario (USD)]]</f>
        <v>2316</v>
      </c>
      <c r="I116" s="21">
        <v>7.53</v>
      </c>
      <c r="J116" s="5">
        <f t="shared" si="5"/>
        <v>17439.48</v>
      </c>
      <c r="K116" t="str">
        <f>IF(Tabla1[[#This Row],[Venta Total (Q)]] = 0, "Sin ventas", "Con ventas")</f>
        <v>Con ventas</v>
      </c>
      <c r="L116" s="20">
        <f t="shared" si="3"/>
        <v>108.08</v>
      </c>
      <c r="M116" s="20">
        <f t="shared" si="4"/>
        <v>1621.2</v>
      </c>
      <c r="N116" s="20">
        <f>Tabla1[[#This Row],[Venta Total (USD)]] - Tabla1[[#This Row],[Costo Total (USD)]]</f>
        <v>694.8</v>
      </c>
    </row>
    <row r="117" spans="1:14" x14ac:dyDescent="0.25">
      <c r="A117" t="s">
        <v>31</v>
      </c>
      <c r="B117" t="s">
        <v>21</v>
      </c>
      <c r="C117" t="s">
        <v>24</v>
      </c>
      <c r="D117">
        <v>2023</v>
      </c>
      <c r="E117">
        <v>6</v>
      </c>
      <c r="F117">
        <v>3</v>
      </c>
      <c r="G117" s="20">
        <v>170.94</v>
      </c>
      <c r="H117" s="20">
        <f>Tabla1[[#This Row],[Cantidad Vendida]]*Tabla1[[#This Row],[Precio Unitario (USD)]]</f>
        <v>512.81999999999994</v>
      </c>
      <c r="I117" s="21">
        <v>7.71</v>
      </c>
      <c r="J117" s="5">
        <f t="shared" si="5"/>
        <v>3953.8421999999996</v>
      </c>
      <c r="K117" t="str">
        <f>IF(Tabla1[[#This Row],[Venta Total (Q)]] = 0, "Sin ventas", "Con ventas")</f>
        <v>Con ventas</v>
      </c>
      <c r="L117" s="20">
        <f t="shared" si="3"/>
        <v>119.65799999999999</v>
      </c>
      <c r="M117" s="20">
        <f t="shared" si="4"/>
        <v>358.97399999999993</v>
      </c>
      <c r="N117" s="20">
        <f>Tabla1[[#This Row],[Venta Total (USD)]] - Tabla1[[#This Row],[Costo Total (USD)]]</f>
        <v>153.846</v>
      </c>
    </row>
    <row r="118" spans="1:14" x14ac:dyDescent="0.25">
      <c r="A118" t="s">
        <v>31</v>
      </c>
      <c r="B118" t="s">
        <v>21</v>
      </c>
      <c r="C118" t="s">
        <v>34</v>
      </c>
      <c r="D118">
        <v>2023</v>
      </c>
      <c r="E118">
        <v>8</v>
      </c>
      <c r="F118">
        <v>9</v>
      </c>
      <c r="G118" s="20">
        <v>22.51</v>
      </c>
      <c r="H118" s="20">
        <f>Tabla1[[#This Row],[Cantidad Vendida]]*Tabla1[[#This Row],[Precio Unitario (USD)]]</f>
        <v>202.59</v>
      </c>
      <c r="I118" s="21">
        <v>8.4600000000000009</v>
      </c>
      <c r="J118" s="5">
        <f t="shared" si="5"/>
        <v>1713.9114000000002</v>
      </c>
      <c r="K118" t="str">
        <f>IF(Tabla1[[#This Row],[Venta Total (Q)]] = 0, "Sin ventas", "Con ventas")</f>
        <v>Con ventas</v>
      </c>
      <c r="L118" s="20">
        <f t="shared" si="3"/>
        <v>15.757</v>
      </c>
      <c r="M118" s="20">
        <f t="shared" si="4"/>
        <v>141.81299999999999</v>
      </c>
      <c r="N118" s="20">
        <f>Tabla1[[#This Row],[Venta Total (USD)]] - Tabla1[[#This Row],[Costo Total (USD)]]</f>
        <v>60.777000000000015</v>
      </c>
    </row>
    <row r="119" spans="1:14" x14ac:dyDescent="0.25">
      <c r="A119" t="s">
        <v>20</v>
      </c>
      <c r="B119" t="s">
        <v>28</v>
      </c>
      <c r="C119" t="s">
        <v>40</v>
      </c>
      <c r="D119">
        <v>2022</v>
      </c>
      <c r="E119">
        <v>11</v>
      </c>
      <c r="F119">
        <v>9</v>
      </c>
      <c r="G119" s="20">
        <v>190.38</v>
      </c>
      <c r="H119" s="20">
        <f>Tabla1[[#This Row],[Cantidad Vendida]]*Tabla1[[#This Row],[Precio Unitario (USD)]]</f>
        <v>1713.42</v>
      </c>
      <c r="I119" s="21">
        <v>8.43</v>
      </c>
      <c r="J119" s="5">
        <f t="shared" si="5"/>
        <v>14444.1306</v>
      </c>
      <c r="K119" t="str">
        <f>IF(Tabla1[[#This Row],[Venta Total (Q)]] = 0, "Sin ventas", "Con ventas")</f>
        <v>Con ventas</v>
      </c>
      <c r="L119" s="20">
        <f t="shared" si="3"/>
        <v>133.26599999999999</v>
      </c>
      <c r="M119" s="20">
        <f t="shared" si="4"/>
        <v>1199.394</v>
      </c>
      <c r="N119" s="20">
        <f>Tabla1[[#This Row],[Venta Total (USD)]] - Tabla1[[#This Row],[Costo Total (USD)]]</f>
        <v>514.02600000000007</v>
      </c>
    </row>
    <row r="120" spans="1:14" x14ac:dyDescent="0.25">
      <c r="A120" t="s">
        <v>20</v>
      </c>
      <c r="B120" t="s">
        <v>17</v>
      </c>
      <c r="C120" t="s">
        <v>33</v>
      </c>
      <c r="D120">
        <v>2024</v>
      </c>
      <c r="E120">
        <v>12</v>
      </c>
      <c r="F120">
        <v>15</v>
      </c>
      <c r="G120" s="20">
        <v>97.81</v>
      </c>
      <c r="H120" s="20">
        <f>Tabla1[[#This Row],[Cantidad Vendida]]*Tabla1[[#This Row],[Precio Unitario (USD)]]</f>
        <v>1467.15</v>
      </c>
      <c r="I120" s="21">
        <v>7.71</v>
      </c>
      <c r="J120" s="5">
        <f t="shared" si="5"/>
        <v>11311.726500000001</v>
      </c>
      <c r="K120" t="str">
        <f>IF(Tabla1[[#This Row],[Venta Total (Q)]] = 0, "Sin ventas", "Con ventas")</f>
        <v>Con ventas</v>
      </c>
      <c r="L120" s="20">
        <f t="shared" si="3"/>
        <v>68.466999999999999</v>
      </c>
      <c r="M120" s="20">
        <f t="shared" si="4"/>
        <v>1027.0049999999999</v>
      </c>
      <c r="N120" s="20">
        <f>Tabla1[[#This Row],[Venta Total (USD)]] - Tabla1[[#This Row],[Costo Total (USD)]]</f>
        <v>440.14500000000021</v>
      </c>
    </row>
    <row r="121" spans="1:14" x14ac:dyDescent="0.25">
      <c r="A121" t="s">
        <v>31</v>
      </c>
      <c r="B121" t="s">
        <v>13</v>
      </c>
      <c r="C121" t="s">
        <v>30</v>
      </c>
      <c r="D121">
        <v>2024</v>
      </c>
      <c r="E121">
        <v>5</v>
      </c>
      <c r="F121">
        <v>8</v>
      </c>
      <c r="G121" s="20">
        <v>486.26</v>
      </c>
      <c r="H121" s="20">
        <f>Tabla1[[#This Row],[Cantidad Vendida]]*Tabla1[[#This Row],[Precio Unitario (USD)]]</f>
        <v>3890.08</v>
      </c>
      <c r="I121" s="21">
        <v>7.84</v>
      </c>
      <c r="J121" s="5">
        <f t="shared" si="5"/>
        <v>30498.227199999998</v>
      </c>
      <c r="K121" t="str">
        <f>IF(Tabla1[[#This Row],[Venta Total (Q)]] = 0, "Sin ventas", "Con ventas")</f>
        <v>Con ventas</v>
      </c>
      <c r="L121" s="20">
        <f t="shared" si="3"/>
        <v>340.38199999999995</v>
      </c>
      <c r="M121" s="20">
        <f t="shared" si="4"/>
        <v>2723.0559999999996</v>
      </c>
      <c r="N121" s="20">
        <f>Tabla1[[#This Row],[Venta Total (USD)]] - Tabla1[[#This Row],[Costo Total (USD)]]</f>
        <v>1167.0240000000003</v>
      </c>
    </row>
    <row r="122" spans="1:14" x14ac:dyDescent="0.25">
      <c r="A122" t="s">
        <v>35</v>
      </c>
      <c r="B122" t="s">
        <v>17</v>
      </c>
      <c r="C122" t="s">
        <v>19</v>
      </c>
      <c r="D122">
        <v>2022</v>
      </c>
      <c r="E122">
        <v>5</v>
      </c>
      <c r="F122">
        <v>7</v>
      </c>
      <c r="G122" s="20">
        <v>491.59</v>
      </c>
      <c r="H122" s="20">
        <f>Tabla1[[#This Row],[Cantidad Vendida]]*Tabla1[[#This Row],[Precio Unitario (USD)]]</f>
        <v>3441.1299999999997</v>
      </c>
      <c r="I122" s="21">
        <v>7.54</v>
      </c>
      <c r="J122" s="5">
        <f t="shared" si="5"/>
        <v>25946.120199999998</v>
      </c>
      <c r="K122" t="str">
        <f>IF(Tabla1[[#This Row],[Venta Total (Q)]] = 0, "Sin ventas", "Con ventas")</f>
        <v>Con ventas</v>
      </c>
      <c r="L122" s="20">
        <f t="shared" si="3"/>
        <v>344.11299999999994</v>
      </c>
      <c r="M122" s="20">
        <f t="shared" si="4"/>
        <v>2408.7909999999997</v>
      </c>
      <c r="N122" s="20">
        <f>Tabla1[[#This Row],[Venta Total (USD)]] - Tabla1[[#This Row],[Costo Total (USD)]]</f>
        <v>1032.3389999999999</v>
      </c>
    </row>
    <row r="123" spans="1:14" x14ac:dyDescent="0.25">
      <c r="A123" t="s">
        <v>15</v>
      </c>
      <c r="B123" t="s">
        <v>11</v>
      </c>
      <c r="C123" t="s">
        <v>12</v>
      </c>
      <c r="D123">
        <v>2024</v>
      </c>
      <c r="E123">
        <v>3</v>
      </c>
      <c r="F123">
        <v>6</v>
      </c>
      <c r="G123" s="20">
        <v>468.92</v>
      </c>
      <c r="H123" s="20">
        <f>Tabla1[[#This Row],[Cantidad Vendida]]*Tabla1[[#This Row],[Precio Unitario (USD)]]</f>
        <v>2813.52</v>
      </c>
      <c r="I123" s="21">
        <v>8.24</v>
      </c>
      <c r="J123" s="5">
        <f t="shared" si="5"/>
        <v>23183.4048</v>
      </c>
      <c r="K123" t="str">
        <f>IF(Tabla1[[#This Row],[Venta Total (Q)]] = 0, "Sin ventas", "Con ventas")</f>
        <v>Con ventas</v>
      </c>
      <c r="L123" s="20">
        <f t="shared" si="3"/>
        <v>328.24399999999997</v>
      </c>
      <c r="M123" s="20">
        <f t="shared" si="4"/>
        <v>1969.4639999999999</v>
      </c>
      <c r="N123" s="20">
        <f>Tabla1[[#This Row],[Venta Total (USD)]] - Tabla1[[#This Row],[Costo Total (USD)]]</f>
        <v>844.05600000000004</v>
      </c>
    </row>
    <row r="124" spans="1:14" x14ac:dyDescent="0.25">
      <c r="A124" t="s">
        <v>10</v>
      </c>
      <c r="B124" t="s">
        <v>11</v>
      </c>
      <c r="C124" t="s">
        <v>25</v>
      </c>
      <c r="D124">
        <v>2022</v>
      </c>
      <c r="E124">
        <v>3</v>
      </c>
      <c r="F124">
        <v>4</v>
      </c>
      <c r="G124" s="20">
        <v>170.56</v>
      </c>
      <c r="H124" s="20">
        <f>Tabla1[[#This Row],[Cantidad Vendida]]*Tabla1[[#This Row],[Precio Unitario (USD)]]</f>
        <v>682.24</v>
      </c>
      <c r="I124" s="21">
        <v>8.4600000000000009</v>
      </c>
      <c r="J124" s="5">
        <f t="shared" si="5"/>
        <v>5771.7504000000008</v>
      </c>
      <c r="K124" t="str">
        <f>IF(Tabla1[[#This Row],[Venta Total (Q)]] = 0, "Sin ventas", "Con ventas")</f>
        <v>Con ventas</v>
      </c>
      <c r="L124" s="20">
        <f t="shared" si="3"/>
        <v>119.392</v>
      </c>
      <c r="M124" s="20">
        <f t="shared" si="4"/>
        <v>477.56799999999998</v>
      </c>
      <c r="N124" s="20">
        <f>Tabla1[[#This Row],[Venta Total (USD)]] - Tabla1[[#This Row],[Costo Total (USD)]]</f>
        <v>204.67200000000003</v>
      </c>
    </row>
    <row r="125" spans="1:14" x14ac:dyDescent="0.25">
      <c r="A125" t="s">
        <v>16</v>
      </c>
      <c r="B125" t="s">
        <v>17</v>
      </c>
      <c r="C125" t="s">
        <v>19</v>
      </c>
      <c r="D125">
        <v>2022</v>
      </c>
      <c r="E125">
        <v>8</v>
      </c>
      <c r="F125">
        <v>18</v>
      </c>
      <c r="G125" s="20">
        <v>434.6</v>
      </c>
      <c r="H125" s="20">
        <f>Tabla1[[#This Row],[Cantidad Vendida]]*Tabla1[[#This Row],[Precio Unitario (USD)]]</f>
        <v>7822.8</v>
      </c>
      <c r="I125" s="21">
        <v>8.33</v>
      </c>
      <c r="J125" s="5">
        <f t="shared" si="5"/>
        <v>65163.923999999999</v>
      </c>
      <c r="K125" t="str">
        <f>IF(Tabla1[[#This Row],[Venta Total (Q)]] = 0, "Sin ventas", "Con ventas")</f>
        <v>Con ventas</v>
      </c>
      <c r="L125" s="20">
        <f t="shared" si="3"/>
        <v>304.21999999999997</v>
      </c>
      <c r="M125" s="20">
        <f t="shared" si="4"/>
        <v>5475.9599999999991</v>
      </c>
      <c r="N125" s="20">
        <f>Tabla1[[#This Row],[Venta Total (USD)]] - Tabla1[[#This Row],[Costo Total (USD)]]</f>
        <v>2346.8400000000011</v>
      </c>
    </row>
    <row r="126" spans="1:14" x14ac:dyDescent="0.25">
      <c r="A126" t="s">
        <v>35</v>
      </c>
      <c r="B126" t="s">
        <v>28</v>
      </c>
      <c r="C126" t="s">
        <v>39</v>
      </c>
      <c r="D126">
        <v>2022</v>
      </c>
      <c r="E126">
        <v>3</v>
      </c>
      <c r="F126">
        <v>9</v>
      </c>
      <c r="G126" s="20">
        <v>81.67</v>
      </c>
      <c r="H126" s="20">
        <f>Tabla1[[#This Row],[Cantidad Vendida]]*Tabla1[[#This Row],[Precio Unitario (USD)]]</f>
        <v>735.03</v>
      </c>
      <c r="I126" s="21">
        <v>7.67</v>
      </c>
      <c r="J126" s="5">
        <f t="shared" si="5"/>
        <v>5637.6800999999996</v>
      </c>
      <c r="K126" t="str">
        <f>IF(Tabla1[[#This Row],[Venta Total (Q)]] = 0, "Sin ventas", "Con ventas")</f>
        <v>Con ventas</v>
      </c>
      <c r="L126" s="20">
        <f t="shared" si="3"/>
        <v>57.168999999999997</v>
      </c>
      <c r="M126" s="20">
        <f t="shared" si="4"/>
        <v>514.52099999999996</v>
      </c>
      <c r="N126" s="20">
        <f>Tabla1[[#This Row],[Venta Total (USD)]] - Tabla1[[#This Row],[Costo Total (USD)]]</f>
        <v>220.50900000000001</v>
      </c>
    </row>
    <row r="127" spans="1:14" x14ac:dyDescent="0.25">
      <c r="A127" t="s">
        <v>16</v>
      </c>
      <c r="B127" t="s">
        <v>17</v>
      </c>
      <c r="C127" t="s">
        <v>26</v>
      </c>
      <c r="D127">
        <v>2023</v>
      </c>
      <c r="E127">
        <v>10</v>
      </c>
      <c r="F127">
        <v>16</v>
      </c>
      <c r="G127" s="20">
        <v>308</v>
      </c>
      <c r="H127" s="20">
        <f>Tabla1[[#This Row],[Cantidad Vendida]]*Tabla1[[#This Row],[Precio Unitario (USD)]]</f>
        <v>4928</v>
      </c>
      <c r="I127" s="21">
        <v>8.01</v>
      </c>
      <c r="J127" s="5">
        <f t="shared" si="5"/>
        <v>39473.279999999999</v>
      </c>
      <c r="K127" t="str">
        <f>IF(Tabla1[[#This Row],[Venta Total (Q)]] = 0, "Sin ventas", "Con ventas")</f>
        <v>Con ventas</v>
      </c>
      <c r="L127" s="20">
        <f t="shared" si="3"/>
        <v>215.6</v>
      </c>
      <c r="M127" s="20">
        <f t="shared" si="4"/>
        <v>3449.6</v>
      </c>
      <c r="N127" s="20">
        <f>Tabla1[[#This Row],[Venta Total (USD)]] - Tabla1[[#This Row],[Costo Total (USD)]]</f>
        <v>1478.4</v>
      </c>
    </row>
    <row r="128" spans="1:14" x14ac:dyDescent="0.25">
      <c r="A128" t="s">
        <v>15</v>
      </c>
      <c r="B128" t="s">
        <v>17</v>
      </c>
      <c r="C128" t="s">
        <v>33</v>
      </c>
      <c r="D128">
        <v>2023</v>
      </c>
      <c r="E128">
        <v>12</v>
      </c>
      <c r="F128">
        <v>16</v>
      </c>
      <c r="G128" s="20">
        <v>455.76</v>
      </c>
      <c r="H128" s="20">
        <f>Tabla1[[#This Row],[Cantidad Vendida]]*Tabla1[[#This Row],[Precio Unitario (USD)]]</f>
        <v>7292.16</v>
      </c>
      <c r="I128" s="21">
        <v>7.73</v>
      </c>
      <c r="J128" s="5">
        <f t="shared" si="5"/>
        <v>56368.396800000002</v>
      </c>
      <c r="K128" t="str">
        <f>IF(Tabla1[[#This Row],[Venta Total (Q)]] = 0, "Sin ventas", "Con ventas")</f>
        <v>Con ventas</v>
      </c>
      <c r="L128" s="20">
        <f t="shared" si="3"/>
        <v>319.03199999999998</v>
      </c>
      <c r="M128" s="20">
        <f t="shared" si="4"/>
        <v>5104.5119999999997</v>
      </c>
      <c r="N128" s="20">
        <f>Tabla1[[#This Row],[Venta Total (USD)]] - Tabla1[[#This Row],[Costo Total (USD)]]</f>
        <v>2187.6480000000001</v>
      </c>
    </row>
    <row r="129" spans="1:14" x14ac:dyDescent="0.25">
      <c r="A129" t="s">
        <v>16</v>
      </c>
      <c r="B129" t="s">
        <v>21</v>
      </c>
      <c r="C129" t="s">
        <v>32</v>
      </c>
      <c r="D129">
        <v>2022</v>
      </c>
      <c r="E129">
        <v>7</v>
      </c>
      <c r="F129">
        <v>5</v>
      </c>
      <c r="G129" s="20">
        <v>170.01</v>
      </c>
      <c r="H129" s="20">
        <f>Tabla1[[#This Row],[Cantidad Vendida]]*Tabla1[[#This Row],[Precio Unitario (USD)]]</f>
        <v>850.05</v>
      </c>
      <c r="I129" s="21">
        <v>8.49</v>
      </c>
      <c r="J129" s="5">
        <f t="shared" si="5"/>
        <v>7216.9245000000001</v>
      </c>
      <c r="K129" t="str">
        <f>IF(Tabla1[[#This Row],[Venta Total (Q)]] = 0, "Sin ventas", "Con ventas")</f>
        <v>Con ventas</v>
      </c>
      <c r="L129" s="20">
        <f t="shared" si="3"/>
        <v>119.00699999999999</v>
      </c>
      <c r="M129" s="20">
        <f t="shared" si="4"/>
        <v>595.03499999999997</v>
      </c>
      <c r="N129" s="20">
        <f>Tabla1[[#This Row],[Venta Total (USD)]] - Tabla1[[#This Row],[Costo Total (USD)]]</f>
        <v>255.01499999999999</v>
      </c>
    </row>
    <row r="130" spans="1:14" x14ac:dyDescent="0.25">
      <c r="A130" t="s">
        <v>10</v>
      </c>
      <c r="B130" t="s">
        <v>13</v>
      </c>
      <c r="C130" t="s">
        <v>14</v>
      </c>
      <c r="D130">
        <v>2022</v>
      </c>
      <c r="E130">
        <v>11</v>
      </c>
      <c r="F130">
        <v>7</v>
      </c>
      <c r="G130" s="20">
        <v>149.31</v>
      </c>
      <c r="H130" s="20">
        <f>Tabla1[[#This Row],[Cantidad Vendida]]*Tabla1[[#This Row],[Precio Unitario (USD)]]</f>
        <v>1045.17</v>
      </c>
      <c r="I130" s="21">
        <v>7.66</v>
      </c>
      <c r="J130" s="5">
        <f t="shared" si="5"/>
        <v>8006.0022000000008</v>
      </c>
      <c r="K130" t="str">
        <f>IF(Tabla1[[#This Row],[Venta Total (Q)]] = 0, "Sin ventas", "Con ventas")</f>
        <v>Con ventas</v>
      </c>
      <c r="L130" s="20">
        <f t="shared" ref="L130:L193" si="6">IF(G130&gt;0, G130*0.7, "")</f>
        <v>104.517</v>
      </c>
      <c r="M130" s="20">
        <f t="shared" ref="M130:M193" si="7">F130 * L130</f>
        <v>731.61899999999991</v>
      </c>
      <c r="N130" s="20">
        <f>Tabla1[[#This Row],[Venta Total (USD)]] - Tabla1[[#This Row],[Costo Total (USD)]]</f>
        <v>313.55100000000016</v>
      </c>
    </row>
    <row r="131" spans="1:14" x14ac:dyDescent="0.25">
      <c r="A131" t="s">
        <v>10</v>
      </c>
      <c r="B131" t="s">
        <v>21</v>
      </c>
      <c r="C131" t="s">
        <v>22</v>
      </c>
      <c r="D131">
        <v>2022</v>
      </c>
      <c r="E131">
        <v>8</v>
      </c>
      <c r="F131">
        <v>16</v>
      </c>
      <c r="G131" s="20">
        <v>224.99</v>
      </c>
      <c r="H131" s="20">
        <f>Tabla1[[#This Row],[Cantidad Vendida]]*Tabla1[[#This Row],[Precio Unitario (USD)]]</f>
        <v>3599.84</v>
      </c>
      <c r="I131" s="21">
        <v>7.54</v>
      </c>
      <c r="J131" s="5">
        <f t="shared" ref="J131:J194" si="8">H131 * I131</f>
        <v>27142.793600000001</v>
      </c>
      <c r="K131" t="str">
        <f>IF(Tabla1[[#This Row],[Venta Total (Q)]] = 0, "Sin ventas", "Con ventas")</f>
        <v>Con ventas</v>
      </c>
      <c r="L131" s="20">
        <f t="shared" si="6"/>
        <v>157.49299999999999</v>
      </c>
      <c r="M131" s="20">
        <f t="shared" si="7"/>
        <v>2519.8879999999999</v>
      </c>
      <c r="N131" s="20">
        <f>Tabla1[[#This Row],[Venta Total (USD)]] - Tabla1[[#This Row],[Costo Total (USD)]]</f>
        <v>1079.9520000000002</v>
      </c>
    </row>
    <row r="132" spans="1:14" x14ac:dyDescent="0.25">
      <c r="A132" t="s">
        <v>10</v>
      </c>
      <c r="B132" t="s">
        <v>11</v>
      </c>
      <c r="C132" t="s">
        <v>25</v>
      </c>
      <c r="D132">
        <v>2024</v>
      </c>
      <c r="E132">
        <v>4</v>
      </c>
      <c r="F132">
        <v>18</v>
      </c>
      <c r="G132" s="20">
        <v>165.67</v>
      </c>
      <c r="H132" s="20">
        <f>Tabla1[[#This Row],[Cantidad Vendida]]*Tabla1[[#This Row],[Precio Unitario (USD)]]</f>
        <v>2982.06</v>
      </c>
      <c r="I132" s="21">
        <v>7.69</v>
      </c>
      <c r="J132" s="5">
        <f t="shared" si="8"/>
        <v>22932.041400000002</v>
      </c>
      <c r="K132" t="str">
        <f>IF(Tabla1[[#This Row],[Venta Total (Q)]] = 0, "Sin ventas", "Con ventas")</f>
        <v>Con ventas</v>
      </c>
      <c r="L132" s="20">
        <f t="shared" si="6"/>
        <v>115.96899999999998</v>
      </c>
      <c r="M132" s="20">
        <f t="shared" si="7"/>
        <v>2087.4419999999996</v>
      </c>
      <c r="N132" s="20">
        <f>Tabla1[[#This Row],[Venta Total (USD)]] - Tabla1[[#This Row],[Costo Total (USD)]]</f>
        <v>894.61800000000039</v>
      </c>
    </row>
    <row r="133" spans="1:14" x14ac:dyDescent="0.25">
      <c r="A133" t="s">
        <v>31</v>
      </c>
      <c r="B133" t="s">
        <v>13</v>
      </c>
      <c r="C133" t="s">
        <v>27</v>
      </c>
      <c r="D133">
        <v>2025</v>
      </c>
      <c r="E133">
        <v>3</v>
      </c>
      <c r="F133">
        <v>13</v>
      </c>
      <c r="G133" s="20">
        <v>140.81</v>
      </c>
      <c r="H133" s="20">
        <f>Tabla1[[#This Row],[Cantidad Vendida]]*Tabla1[[#This Row],[Precio Unitario (USD)]]</f>
        <v>1830.53</v>
      </c>
      <c r="I133" s="21">
        <v>8.39</v>
      </c>
      <c r="J133" s="5">
        <f t="shared" si="8"/>
        <v>15358.146700000001</v>
      </c>
      <c r="K133" t="str">
        <f>IF(Tabla1[[#This Row],[Venta Total (Q)]] = 0, "Sin ventas", "Con ventas")</f>
        <v>Con ventas</v>
      </c>
      <c r="L133" s="20">
        <f t="shared" si="6"/>
        <v>98.566999999999993</v>
      </c>
      <c r="M133" s="20">
        <f t="shared" si="7"/>
        <v>1281.3709999999999</v>
      </c>
      <c r="N133" s="20">
        <f>Tabla1[[#This Row],[Venta Total (USD)]] - Tabla1[[#This Row],[Costo Total (USD)]]</f>
        <v>549.15900000000011</v>
      </c>
    </row>
    <row r="134" spans="1:14" x14ac:dyDescent="0.25">
      <c r="A134" t="s">
        <v>15</v>
      </c>
      <c r="B134" t="s">
        <v>11</v>
      </c>
      <c r="C134" t="s">
        <v>25</v>
      </c>
      <c r="D134">
        <v>2022</v>
      </c>
      <c r="E134">
        <v>3</v>
      </c>
      <c r="F134">
        <v>6</v>
      </c>
      <c r="G134" s="20">
        <v>486.52</v>
      </c>
      <c r="H134" s="20">
        <f>Tabla1[[#This Row],[Cantidad Vendida]]*Tabla1[[#This Row],[Precio Unitario (USD)]]</f>
        <v>2919.12</v>
      </c>
      <c r="I134" s="21">
        <v>8.02</v>
      </c>
      <c r="J134" s="5">
        <f t="shared" si="8"/>
        <v>23411.342399999998</v>
      </c>
      <c r="K134" t="str">
        <f>IF(Tabla1[[#This Row],[Venta Total (Q)]] = 0, "Sin ventas", "Con ventas")</f>
        <v>Con ventas</v>
      </c>
      <c r="L134" s="20">
        <f t="shared" si="6"/>
        <v>340.56399999999996</v>
      </c>
      <c r="M134" s="20">
        <f t="shared" si="7"/>
        <v>2043.3839999999998</v>
      </c>
      <c r="N134" s="20">
        <f>Tabla1[[#This Row],[Venta Total (USD)]] - Tabla1[[#This Row],[Costo Total (USD)]]</f>
        <v>875.7360000000001</v>
      </c>
    </row>
    <row r="135" spans="1:14" x14ac:dyDescent="0.25">
      <c r="A135" t="s">
        <v>20</v>
      </c>
      <c r="B135" t="s">
        <v>17</v>
      </c>
      <c r="C135" t="s">
        <v>26</v>
      </c>
      <c r="D135">
        <v>2022</v>
      </c>
      <c r="E135">
        <v>2</v>
      </c>
      <c r="F135">
        <v>16</v>
      </c>
      <c r="G135" s="20">
        <v>54.94</v>
      </c>
      <c r="H135" s="20">
        <f>Tabla1[[#This Row],[Cantidad Vendida]]*Tabla1[[#This Row],[Precio Unitario (USD)]]</f>
        <v>879.04</v>
      </c>
      <c r="I135" s="21">
        <v>8.31</v>
      </c>
      <c r="J135" s="5">
        <f t="shared" si="8"/>
        <v>7304.8224</v>
      </c>
      <c r="K135" t="str">
        <f>IF(Tabla1[[#This Row],[Venta Total (Q)]] = 0, "Sin ventas", "Con ventas")</f>
        <v>Con ventas</v>
      </c>
      <c r="L135" s="20">
        <f t="shared" si="6"/>
        <v>38.457999999999998</v>
      </c>
      <c r="M135" s="20">
        <f t="shared" si="7"/>
        <v>615.32799999999997</v>
      </c>
      <c r="N135" s="20">
        <f>Tabla1[[#This Row],[Venta Total (USD)]] - Tabla1[[#This Row],[Costo Total (USD)]]</f>
        <v>263.71199999999999</v>
      </c>
    </row>
    <row r="136" spans="1:14" x14ac:dyDescent="0.25">
      <c r="A136" t="s">
        <v>15</v>
      </c>
      <c r="B136" t="s">
        <v>21</v>
      </c>
      <c r="C136" t="s">
        <v>32</v>
      </c>
      <c r="D136">
        <v>2024</v>
      </c>
      <c r="E136">
        <v>2</v>
      </c>
      <c r="F136">
        <v>9</v>
      </c>
      <c r="G136" s="20">
        <v>137.34</v>
      </c>
      <c r="H136" s="20">
        <f>Tabla1[[#This Row],[Cantidad Vendida]]*Tabla1[[#This Row],[Precio Unitario (USD)]]</f>
        <v>1236.06</v>
      </c>
      <c r="I136" s="21">
        <v>7.62</v>
      </c>
      <c r="J136" s="5">
        <f t="shared" si="8"/>
        <v>9418.7772000000004</v>
      </c>
      <c r="K136" t="str">
        <f>IF(Tabla1[[#This Row],[Venta Total (Q)]] = 0, "Sin ventas", "Con ventas")</f>
        <v>Con ventas</v>
      </c>
      <c r="L136" s="20">
        <f t="shared" si="6"/>
        <v>96.137999999999991</v>
      </c>
      <c r="M136" s="20">
        <f t="shared" si="7"/>
        <v>865.24199999999996</v>
      </c>
      <c r="N136" s="20">
        <f>Tabla1[[#This Row],[Venta Total (USD)]] - Tabla1[[#This Row],[Costo Total (USD)]]</f>
        <v>370.81799999999998</v>
      </c>
    </row>
    <row r="137" spans="1:14" x14ac:dyDescent="0.25">
      <c r="A137" t="s">
        <v>35</v>
      </c>
      <c r="B137" t="s">
        <v>28</v>
      </c>
      <c r="C137" t="s">
        <v>29</v>
      </c>
      <c r="D137">
        <v>2022</v>
      </c>
      <c r="E137">
        <v>3</v>
      </c>
      <c r="F137">
        <v>9</v>
      </c>
      <c r="G137" s="20">
        <v>31.87</v>
      </c>
      <c r="H137" s="20">
        <f>Tabla1[[#This Row],[Cantidad Vendida]]*Tabla1[[#This Row],[Precio Unitario (USD)]]</f>
        <v>286.83</v>
      </c>
      <c r="I137" s="21">
        <v>8.2200000000000006</v>
      </c>
      <c r="J137" s="5">
        <f t="shared" si="8"/>
        <v>2357.7426</v>
      </c>
      <c r="K137" t="str">
        <f>IF(Tabla1[[#This Row],[Venta Total (Q)]] = 0, "Sin ventas", "Con ventas")</f>
        <v>Con ventas</v>
      </c>
      <c r="L137" s="20">
        <f t="shared" si="6"/>
        <v>22.309000000000001</v>
      </c>
      <c r="M137" s="20">
        <f t="shared" si="7"/>
        <v>200.78100000000001</v>
      </c>
      <c r="N137" s="20">
        <f>Tabla1[[#This Row],[Venta Total (USD)]] - Tabla1[[#This Row],[Costo Total (USD)]]</f>
        <v>86.048999999999978</v>
      </c>
    </row>
    <row r="138" spans="1:14" x14ac:dyDescent="0.25">
      <c r="A138" t="s">
        <v>31</v>
      </c>
      <c r="B138" t="s">
        <v>17</v>
      </c>
      <c r="C138" t="s">
        <v>18</v>
      </c>
      <c r="D138">
        <v>2024</v>
      </c>
      <c r="E138">
        <v>6</v>
      </c>
      <c r="F138">
        <v>13</v>
      </c>
      <c r="G138" s="20">
        <v>143.96</v>
      </c>
      <c r="H138" s="20">
        <f>Tabla1[[#This Row],[Cantidad Vendida]]*Tabla1[[#This Row],[Precio Unitario (USD)]]</f>
        <v>1871.48</v>
      </c>
      <c r="I138" s="21">
        <v>8.34</v>
      </c>
      <c r="J138" s="5">
        <f t="shared" si="8"/>
        <v>15608.1432</v>
      </c>
      <c r="K138" t="str">
        <f>IF(Tabla1[[#This Row],[Venta Total (Q)]] = 0, "Sin ventas", "Con ventas")</f>
        <v>Con ventas</v>
      </c>
      <c r="L138" s="20">
        <f t="shared" si="6"/>
        <v>100.77200000000001</v>
      </c>
      <c r="M138" s="20">
        <f t="shared" si="7"/>
        <v>1310.0360000000001</v>
      </c>
      <c r="N138" s="20">
        <f>Tabla1[[#This Row],[Venta Total (USD)]] - Tabla1[[#This Row],[Costo Total (USD)]]</f>
        <v>561.44399999999996</v>
      </c>
    </row>
    <row r="139" spans="1:14" x14ac:dyDescent="0.25">
      <c r="A139" t="s">
        <v>31</v>
      </c>
      <c r="B139" t="s">
        <v>17</v>
      </c>
      <c r="C139" t="s">
        <v>26</v>
      </c>
      <c r="D139">
        <v>2025</v>
      </c>
      <c r="E139">
        <v>12</v>
      </c>
      <c r="F139">
        <v>4</v>
      </c>
      <c r="G139" s="20">
        <v>458.46</v>
      </c>
      <c r="H139" s="20">
        <f>Tabla1[[#This Row],[Cantidad Vendida]]*Tabla1[[#This Row],[Precio Unitario (USD)]]</f>
        <v>1833.84</v>
      </c>
      <c r="I139" s="21">
        <v>8.01</v>
      </c>
      <c r="J139" s="5">
        <f t="shared" si="8"/>
        <v>14689.058399999998</v>
      </c>
      <c r="K139" t="str">
        <f>IF(Tabla1[[#This Row],[Venta Total (Q)]] = 0, "Sin ventas", "Con ventas")</f>
        <v>Con ventas</v>
      </c>
      <c r="L139" s="20">
        <f t="shared" si="6"/>
        <v>320.92199999999997</v>
      </c>
      <c r="M139" s="20">
        <f t="shared" si="7"/>
        <v>1283.6879999999999</v>
      </c>
      <c r="N139" s="20">
        <f>Tabla1[[#This Row],[Venta Total (USD)]] - Tabla1[[#This Row],[Costo Total (USD)]]</f>
        <v>550.15200000000004</v>
      </c>
    </row>
    <row r="140" spans="1:14" x14ac:dyDescent="0.25">
      <c r="A140" t="s">
        <v>16</v>
      </c>
      <c r="B140" t="s">
        <v>11</v>
      </c>
      <c r="C140" t="s">
        <v>12</v>
      </c>
      <c r="D140">
        <v>2023</v>
      </c>
      <c r="E140">
        <v>8</v>
      </c>
      <c r="F140">
        <v>18</v>
      </c>
      <c r="G140" s="20">
        <v>344.67</v>
      </c>
      <c r="H140" s="20">
        <f>Tabla1[[#This Row],[Cantidad Vendida]]*Tabla1[[#This Row],[Precio Unitario (USD)]]</f>
        <v>6204.06</v>
      </c>
      <c r="I140" s="21">
        <v>8.3000000000000007</v>
      </c>
      <c r="J140" s="5">
        <f t="shared" si="8"/>
        <v>51493.698000000011</v>
      </c>
      <c r="K140" t="str">
        <f>IF(Tabla1[[#This Row],[Venta Total (Q)]] = 0, "Sin ventas", "Con ventas")</f>
        <v>Con ventas</v>
      </c>
      <c r="L140" s="20">
        <f t="shared" si="6"/>
        <v>241.26900000000001</v>
      </c>
      <c r="M140" s="20">
        <f t="shared" si="7"/>
        <v>4342.8420000000006</v>
      </c>
      <c r="N140" s="20">
        <f>Tabla1[[#This Row],[Venta Total (USD)]] - Tabla1[[#This Row],[Costo Total (USD)]]</f>
        <v>1861.2179999999998</v>
      </c>
    </row>
    <row r="141" spans="1:14" x14ac:dyDescent="0.25">
      <c r="A141" t="s">
        <v>20</v>
      </c>
      <c r="B141" t="s">
        <v>13</v>
      </c>
      <c r="C141" t="s">
        <v>14</v>
      </c>
      <c r="D141">
        <v>2024</v>
      </c>
      <c r="E141">
        <v>8</v>
      </c>
      <c r="F141">
        <v>19</v>
      </c>
      <c r="G141" s="20">
        <v>205.26</v>
      </c>
      <c r="H141" s="20">
        <f>Tabla1[[#This Row],[Cantidad Vendida]]*Tabla1[[#This Row],[Precio Unitario (USD)]]</f>
        <v>3899.9399999999996</v>
      </c>
      <c r="I141" s="21">
        <v>8.23</v>
      </c>
      <c r="J141" s="5">
        <f t="shared" si="8"/>
        <v>32096.5062</v>
      </c>
      <c r="K141" t="str">
        <f>IF(Tabla1[[#This Row],[Venta Total (Q)]] = 0, "Sin ventas", "Con ventas")</f>
        <v>Con ventas</v>
      </c>
      <c r="L141" s="20">
        <f t="shared" si="6"/>
        <v>143.68199999999999</v>
      </c>
      <c r="M141" s="20">
        <f t="shared" si="7"/>
        <v>2729.9579999999996</v>
      </c>
      <c r="N141" s="20">
        <f>Tabla1[[#This Row],[Venta Total (USD)]] - Tabla1[[#This Row],[Costo Total (USD)]]</f>
        <v>1169.982</v>
      </c>
    </row>
    <row r="142" spans="1:14" x14ac:dyDescent="0.25">
      <c r="A142" t="s">
        <v>15</v>
      </c>
      <c r="B142" t="s">
        <v>28</v>
      </c>
      <c r="C142" t="s">
        <v>40</v>
      </c>
      <c r="D142">
        <v>2025</v>
      </c>
      <c r="E142">
        <v>5</v>
      </c>
      <c r="F142">
        <v>16</v>
      </c>
      <c r="G142" s="20">
        <v>119.36</v>
      </c>
      <c r="H142" s="20">
        <f>Tabla1[[#This Row],[Cantidad Vendida]]*Tabla1[[#This Row],[Precio Unitario (USD)]]</f>
        <v>1909.76</v>
      </c>
      <c r="I142" s="21">
        <v>8.1</v>
      </c>
      <c r="J142" s="5">
        <f t="shared" si="8"/>
        <v>15469.055999999999</v>
      </c>
      <c r="K142" t="str">
        <f>IF(Tabla1[[#This Row],[Venta Total (Q)]] = 0, "Sin ventas", "Con ventas")</f>
        <v>Con ventas</v>
      </c>
      <c r="L142" s="20">
        <f t="shared" si="6"/>
        <v>83.551999999999992</v>
      </c>
      <c r="M142" s="20">
        <f t="shared" si="7"/>
        <v>1336.8319999999999</v>
      </c>
      <c r="N142" s="20">
        <f>Tabla1[[#This Row],[Venta Total (USD)]] - Tabla1[[#This Row],[Costo Total (USD)]]</f>
        <v>572.92800000000011</v>
      </c>
    </row>
    <row r="143" spans="1:14" x14ac:dyDescent="0.25">
      <c r="A143" t="s">
        <v>31</v>
      </c>
      <c r="B143" t="s">
        <v>28</v>
      </c>
      <c r="C143" t="s">
        <v>40</v>
      </c>
      <c r="D143">
        <v>2025</v>
      </c>
      <c r="E143">
        <v>5</v>
      </c>
      <c r="F143">
        <v>2</v>
      </c>
      <c r="G143" s="20">
        <v>324.27</v>
      </c>
      <c r="H143" s="20">
        <f>Tabla1[[#This Row],[Cantidad Vendida]]*Tabla1[[#This Row],[Precio Unitario (USD)]]</f>
        <v>648.54</v>
      </c>
      <c r="I143" s="21">
        <v>7.7</v>
      </c>
      <c r="J143" s="5">
        <f t="shared" si="8"/>
        <v>4993.7579999999998</v>
      </c>
      <c r="K143" t="str">
        <f>IF(Tabla1[[#This Row],[Venta Total (Q)]] = 0, "Sin ventas", "Con ventas")</f>
        <v>Con ventas</v>
      </c>
      <c r="L143" s="20">
        <f t="shared" si="6"/>
        <v>226.98899999999998</v>
      </c>
      <c r="M143" s="20">
        <f t="shared" si="7"/>
        <v>453.97799999999995</v>
      </c>
      <c r="N143" s="20">
        <f>Tabla1[[#This Row],[Venta Total (USD)]] - Tabla1[[#This Row],[Costo Total (USD)]]</f>
        <v>194.56200000000001</v>
      </c>
    </row>
    <row r="144" spans="1:14" x14ac:dyDescent="0.25">
      <c r="A144" t="s">
        <v>10</v>
      </c>
      <c r="B144" t="s">
        <v>28</v>
      </c>
      <c r="C144" t="s">
        <v>40</v>
      </c>
      <c r="D144">
        <v>2024</v>
      </c>
      <c r="E144">
        <v>2</v>
      </c>
      <c r="F144">
        <v>14</v>
      </c>
      <c r="G144" s="20">
        <v>328.64</v>
      </c>
      <c r="H144" s="20">
        <f>Tabla1[[#This Row],[Cantidad Vendida]]*Tabla1[[#This Row],[Precio Unitario (USD)]]</f>
        <v>4600.96</v>
      </c>
      <c r="I144" s="21">
        <v>8.41</v>
      </c>
      <c r="J144" s="5">
        <f t="shared" si="8"/>
        <v>38694.073600000003</v>
      </c>
      <c r="K144" t="str">
        <f>IF(Tabla1[[#This Row],[Venta Total (Q)]] = 0, "Sin ventas", "Con ventas")</f>
        <v>Con ventas</v>
      </c>
      <c r="L144" s="20">
        <f t="shared" si="6"/>
        <v>230.04799999999997</v>
      </c>
      <c r="M144" s="20">
        <f t="shared" si="7"/>
        <v>3220.6719999999996</v>
      </c>
      <c r="N144" s="20">
        <f>Tabla1[[#This Row],[Venta Total (USD)]] - Tabla1[[#This Row],[Costo Total (USD)]]</f>
        <v>1380.2880000000005</v>
      </c>
    </row>
    <row r="145" spans="1:14" x14ac:dyDescent="0.25">
      <c r="A145" t="s">
        <v>16</v>
      </c>
      <c r="B145" t="s">
        <v>21</v>
      </c>
      <c r="C145" t="s">
        <v>24</v>
      </c>
      <c r="D145">
        <v>2024</v>
      </c>
      <c r="E145">
        <v>12</v>
      </c>
      <c r="F145">
        <v>18</v>
      </c>
      <c r="G145" s="20">
        <v>135.06</v>
      </c>
      <c r="H145" s="20">
        <f>Tabla1[[#This Row],[Cantidad Vendida]]*Tabla1[[#This Row],[Precio Unitario (USD)]]</f>
        <v>2431.08</v>
      </c>
      <c r="I145" s="21">
        <v>8.02</v>
      </c>
      <c r="J145" s="5">
        <f t="shared" si="8"/>
        <v>19497.261599999998</v>
      </c>
      <c r="K145" t="str">
        <f>IF(Tabla1[[#This Row],[Venta Total (Q)]] = 0, "Sin ventas", "Con ventas")</f>
        <v>Con ventas</v>
      </c>
      <c r="L145" s="20">
        <f t="shared" si="6"/>
        <v>94.542000000000002</v>
      </c>
      <c r="M145" s="20">
        <f t="shared" si="7"/>
        <v>1701.7560000000001</v>
      </c>
      <c r="N145" s="20">
        <f>Tabla1[[#This Row],[Venta Total (USD)]] - Tabla1[[#This Row],[Costo Total (USD)]]</f>
        <v>729.32399999999984</v>
      </c>
    </row>
    <row r="146" spans="1:14" x14ac:dyDescent="0.25">
      <c r="A146" t="s">
        <v>15</v>
      </c>
      <c r="B146" t="s">
        <v>28</v>
      </c>
      <c r="C146" t="s">
        <v>39</v>
      </c>
      <c r="D146">
        <v>2023</v>
      </c>
      <c r="E146">
        <v>10</v>
      </c>
      <c r="F146">
        <v>12</v>
      </c>
      <c r="G146" s="20">
        <v>324.56</v>
      </c>
      <c r="H146" s="20">
        <f>Tabla1[[#This Row],[Cantidad Vendida]]*Tabla1[[#This Row],[Precio Unitario (USD)]]</f>
        <v>3894.7200000000003</v>
      </c>
      <c r="I146" s="21">
        <v>8.19</v>
      </c>
      <c r="J146" s="5">
        <f t="shared" si="8"/>
        <v>31897.756799999999</v>
      </c>
      <c r="K146" t="str">
        <f>IF(Tabla1[[#This Row],[Venta Total (Q)]] = 0, "Sin ventas", "Con ventas")</f>
        <v>Con ventas</v>
      </c>
      <c r="L146" s="20">
        <f t="shared" si="6"/>
        <v>227.19199999999998</v>
      </c>
      <c r="M146" s="20">
        <f t="shared" si="7"/>
        <v>2726.3039999999996</v>
      </c>
      <c r="N146" s="20">
        <f>Tabla1[[#This Row],[Venta Total (USD)]] - Tabla1[[#This Row],[Costo Total (USD)]]</f>
        <v>1168.4160000000006</v>
      </c>
    </row>
    <row r="147" spans="1:14" x14ac:dyDescent="0.25">
      <c r="A147" t="s">
        <v>10</v>
      </c>
      <c r="B147" t="s">
        <v>13</v>
      </c>
      <c r="C147" t="s">
        <v>30</v>
      </c>
      <c r="D147">
        <v>2025</v>
      </c>
      <c r="E147">
        <v>9</v>
      </c>
      <c r="F147">
        <v>19</v>
      </c>
      <c r="G147" s="20">
        <v>99.59</v>
      </c>
      <c r="H147" s="20">
        <f>Tabla1[[#This Row],[Cantidad Vendida]]*Tabla1[[#This Row],[Precio Unitario (USD)]]</f>
        <v>1892.21</v>
      </c>
      <c r="I147" s="21">
        <v>8.35</v>
      </c>
      <c r="J147" s="5">
        <f t="shared" si="8"/>
        <v>15799.9535</v>
      </c>
      <c r="K147" t="str">
        <f>IF(Tabla1[[#This Row],[Venta Total (Q)]] = 0, "Sin ventas", "Con ventas")</f>
        <v>Con ventas</v>
      </c>
      <c r="L147" s="20">
        <f t="shared" si="6"/>
        <v>69.712999999999994</v>
      </c>
      <c r="M147" s="20">
        <f t="shared" si="7"/>
        <v>1324.5469999999998</v>
      </c>
      <c r="N147" s="20">
        <f>Tabla1[[#This Row],[Venta Total (USD)]] - Tabla1[[#This Row],[Costo Total (USD)]]</f>
        <v>567.66300000000024</v>
      </c>
    </row>
    <row r="148" spans="1:14" x14ac:dyDescent="0.25">
      <c r="A148" t="s">
        <v>16</v>
      </c>
      <c r="B148" t="s">
        <v>13</v>
      </c>
      <c r="C148" t="s">
        <v>30</v>
      </c>
      <c r="D148">
        <v>2025</v>
      </c>
      <c r="E148">
        <v>10</v>
      </c>
      <c r="F148">
        <v>8</v>
      </c>
      <c r="G148" s="20">
        <v>167.62</v>
      </c>
      <c r="H148" s="20">
        <f>Tabla1[[#This Row],[Cantidad Vendida]]*Tabla1[[#This Row],[Precio Unitario (USD)]]</f>
        <v>1340.96</v>
      </c>
      <c r="I148" s="21">
        <v>7.91</v>
      </c>
      <c r="J148" s="5">
        <f t="shared" si="8"/>
        <v>10606.9936</v>
      </c>
      <c r="K148" t="str">
        <f>IF(Tabla1[[#This Row],[Venta Total (Q)]] = 0, "Sin ventas", "Con ventas")</f>
        <v>Con ventas</v>
      </c>
      <c r="L148" s="20">
        <f t="shared" si="6"/>
        <v>117.33399999999999</v>
      </c>
      <c r="M148" s="20">
        <f t="shared" si="7"/>
        <v>938.67199999999991</v>
      </c>
      <c r="N148" s="20">
        <f>Tabla1[[#This Row],[Venta Total (USD)]] - Tabla1[[#This Row],[Costo Total (USD)]]</f>
        <v>402.28800000000012</v>
      </c>
    </row>
    <row r="149" spans="1:14" x14ac:dyDescent="0.25">
      <c r="A149" t="s">
        <v>15</v>
      </c>
      <c r="B149" t="s">
        <v>17</v>
      </c>
      <c r="C149" t="s">
        <v>18</v>
      </c>
      <c r="D149">
        <v>2024</v>
      </c>
      <c r="E149">
        <v>3</v>
      </c>
      <c r="F149">
        <v>3</v>
      </c>
      <c r="G149" s="20">
        <v>395.51</v>
      </c>
      <c r="H149" s="20">
        <f>Tabla1[[#This Row],[Cantidad Vendida]]*Tabla1[[#This Row],[Precio Unitario (USD)]]</f>
        <v>1186.53</v>
      </c>
      <c r="I149" s="21">
        <v>7.56</v>
      </c>
      <c r="J149" s="5">
        <f t="shared" si="8"/>
        <v>8970.1667999999991</v>
      </c>
      <c r="K149" t="str">
        <f>IF(Tabla1[[#This Row],[Venta Total (Q)]] = 0, "Sin ventas", "Con ventas")</f>
        <v>Con ventas</v>
      </c>
      <c r="L149" s="20">
        <f t="shared" si="6"/>
        <v>276.85699999999997</v>
      </c>
      <c r="M149" s="20">
        <f t="shared" si="7"/>
        <v>830.57099999999991</v>
      </c>
      <c r="N149" s="20">
        <f>Tabla1[[#This Row],[Venta Total (USD)]] - Tabla1[[#This Row],[Costo Total (USD)]]</f>
        <v>355.95900000000006</v>
      </c>
    </row>
    <row r="150" spans="1:14" x14ac:dyDescent="0.25">
      <c r="A150" t="s">
        <v>16</v>
      </c>
      <c r="B150" t="s">
        <v>13</v>
      </c>
      <c r="C150" t="s">
        <v>36</v>
      </c>
      <c r="D150">
        <v>2023</v>
      </c>
      <c r="E150">
        <v>7</v>
      </c>
      <c r="F150">
        <v>17</v>
      </c>
      <c r="G150" s="20">
        <v>478.59</v>
      </c>
      <c r="H150" s="20">
        <f>Tabla1[[#This Row],[Cantidad Vendida]]*Tabla1[[#This Row],[Precio Unitario (USD)]]</f>
        <v>8136.03</v>
      </c>
      <c r="I150" s="21">
        <v>8.42</v>
      </c>
      <c r="J150" s="5">
        <f t="shared" si="8"/>
        <v>68505.372600000002</v>
      </c>
      <c r="K150" t="str">
        <f>IF(Tabla1[[#This Row],[Venta Total (Q)]] = 0, "Sin ventas", "Con ventas")</f>
        <v>Con ventas</v>
      </c>
      <c r="L150" s="20">
        <f t="shared" si="6"/>
        <v>335.01299999999998</v>
      </c>
      <c r="M150" s="20">
        <f t="shared" si="7"/>
        <v>5695.2209999999995</v>
      </c>
      <c r="N150" s="20">
        <f>Tabla1[[#This Row],[Venta Total (USD)]] - Tabla1[[#This Row],[Costo Total (USD)]]</f>
        <v>2440.8090000000002</v>
      </c>
    </row>
    <row r="151" spans="1:14" x14ac:dyDescent="0.25">
      <c r="A151" t="s">
        <v>15</v>
      </c>
      <c r="B151" t="s">
        <v>13</v>
      </c>
      <c r="C151" t="s">
        <v>30</v>
      </c>
      <c r="D151">
        <v>2022</v>
      </c>
      <c r="E151">
        <v>8</v>
      </c>
      <c r="F151">
        <v>1</v>
      </c>
      <c r="G151" s="20">
        <v>408</v>
      </c>
      <c r="H151" s="20">
        <f>Tabla1[[#This Row],[Cantidad Vendida]]*Tabla1[[#This Row],[Precio Unitario (USD)]]</f>
        <v>408</v>
      </c>
      <c r="I151" s="21">
        <v>7.72</v>
      </c>
      <c r="J151" s="5">
        <f t="shared" si="8"/>
        <v>3149.7599999999998</v>
      </c>
      <c r="K151" t="str">
        <f>IF(Tabla1[[#This Row],[Venta Total (Q)]] = 0, "Sin ventas", "Con ventas")</f>
        <v>Con ventas</v>
      </c>
      <c r="L151" s="20">
        <f t="shared" si="6"/>
        <v>285.59999999999997</v>
      </c>
      <c r="M151" s="20">
        <f t="shared" si="7"/>
        <v>285.59999999999997</v>
      </c>
      <c r="N151" s="20">
        <f>Tabla1[[#This Row],[Venta Total (USD)]] - Tabla1[[#This Row],[Costo Total (USD)]]</f>
        <v>122.40000000000003</v>
      </c>
    </row>
    <row r="152" spans="1:14" x14ac:dyDescent="0.25">
      <c r="A152" t="s">
        <v>31</v>
      </c>
      <c r="B152" t="s">
        <v>13</v>
      </c>
      <c r="C152" t="s">
        <v>14</v>
      </c>
      <c r="D152">
        <v>2023</v>
      </c>
      <c r="E152">
        <v>5</v>
      </c>
      <c r="F152">
        <v>4</v>
      </c>
      <c r="G152" s="20">
        <v>243.24</v>
      </c>
      <c r="H152" s="20">
        <f>Tabla1[[#This Row],[Cantidad Vendida]]*Tabla1[[#This Row],[Precio Unitario (USD)]]</f>
        <v>972.96</v>
      </c>
      <c r="I152" s="21">
        <v>7.93</v>
      </c>
      <c r="J152" s="5">
        <f t="shared" si="8"/>
        <v>7715.5727999999999</v>
      </c>
      <c r="K152" t="str">
        <f>IF(Tabla1[[#This Row],[Venta Total (Q)]] = 0, "Sin ventas", "Con ventas")</f>
        <v>Con ventas</v>
      </c>
      <c r="L152" s="20">
        <f t="shared" si="6"/>
        <v>170.268</v>
      </c>
      <c r="M152" s="20">
        <f t="shared" si="7"/>
        <v>681.072</v>
      </c>
      <c r="N152" s="20">
        <f>Tabla1[[#This Row],[Venta Total (USD)]] - Tabla1[[#This Row],[Costo Total (USD)]]</f>
        <v>291.88800000000003</v>
      </c>
    </row>
    <row r="153" spans="1:14" x14ac:dyDescent="0.25">
      <c r="A153" t="s">
        <v>35</v>
      </c>
      <c r="B153" t="s">
        <v>11</v>
      </c>
      <c r="C153" t="s">
        <v>12</v>
      </c>
      <c r="D153">
        <v>2023</v>
      </c>
      <c r="E153">
        <v>1</v>
      </c>
      <c r="F153">
        <v>8</v>
      </c>
      <c r="G153" s="20">
        <v>20.79</v>
      </c>
      <c r="H153" s="20">
        <f>Tabla1[[#This Row],[Cantidad Vendida]]*Tabla1[[#This Row],[Precio Unitario (USD)]]</f>
        <v>166.32</v>
      </c>
      <c r="I153" s="21">
        <v>7.92</v>
      </c>
      <c r="J153" s="5">
        <f t="shared" si="8"/>
        <v>1317.2544</v>
      </c>
      <c r="K153" t="str">
        <f>IF(Tabla1[[#This Row],[Venta Total (Q)]] = 0, "Sin ventas", "Con ventas")</f>
        <v>Con ventas</v>
      </c>
      <c r="L153" s="20">
        <f t="shared" si="6"/>
        <v>14.552999999999999</v>
      </c>
      <c r="M153" s="20">
        <f t="shared" si="7"/>
        <v>116.42399999999999</v>
      </c>
      <c r="N153" s="20">
        <f>Tabla1[[#This Row],[Venta Total (USD)]] - Tabla1[[#This Row],[Costo Total (USD)]]</f>
        <v>49.896000000000001</v>
      </c>
    </row>
    <row r="154" spans="1:14" x14ac:dyDescent="0.25">
      <c r="A154" t="s">
        <v>35</v>
      </c>
      <c r="B154" t="s">
        <v>28</v>
      </c>
      <c r="C154" t="s">
        <v>29</v>
      </c>
      <c r="D154">
        <v>2024</v>
      </c>
      <c r="E154">
        <v>1</v>
      </c>
      <c r="F154">
        <v>19</v>
      </c>
      <c r="G154" s="20">
        <v>238.04</v>
      </c>
      <c r="H154" s="20">
        <f>Tabla1[[#This Row],[Cantidad Vendida]]*Tabla1[[#This Row],[Precio Unitario (USD)]]</f>
        <v>4522.76</v>
      </c>
      <c r="I154" s="21">
        <v>7.97</v>
      </c>
      <c r="J154" s="5">
        <f t="shared" si="8"/>
        <v>36046.397199999999</v>
      </c>
      <c r="K154" t="str">
        <f>IF(Tabla1[[#This Row],[Venta Total (Q)]] = 0, "Sin ventas", "Con ventas")</f>
        <v>Con ventas</v>
      </c>
      <c r="L154" s="20">
        <f t="shared" si="6"/>
        <v>166.62799999999999</v>
      </c>
      <c r="M154" s="20">
        <f t="shared" si="7"/>
        <v>3165.9319999999998</v>
      </c>
      <c r="N154" s="20">
        <f>Tabla1[[#This Row],[Venta Total (USD)]] - Tabla1[[#This Row],[Costo Total (USD)]]</f>
        <v>1356.8280000000004</v>
      </c>
    </row>
    <row r="155" spans="1:14" x14ac:dyDescent="0.25">
      <c r="A155" t="s">
        <v>35</v>
      </c>
      <c r="B155" t="s">
        <v>11</v>
      </c>
      <c r="C155" t="s">
        <v>23</v>
      </c>
      <c r="D155">
        <v>2024</v>
      </c>
      <c r="E155">
        <v>9</v>
      </c>
      <c r="F155">
        <v>9</v>
      </c>
      <c r="G155" s="20">
        <v>483.3</v>
      </c>
      <c r="H155" s="20">
        <f>Tabla1[[#This Row],[Cantidad Vendida]]*Tabla1[[#This Row],[Precio Unitario (USD)]]</f>
        <v>4349.7</v>
      </c>
      <c r="I155" s="21">
        <v>7.74</v>
      </c>
      <c r="J155" s="5">
        <f t="shared" si="8"/>
        <v>33666.678</v>
      </c>
      <c r="K155" t="str">
        <f>IF(Tabla1[[#This Row],[Venta Total (Q)]] = 0, "Sin ventas", "Con ventas")</f>
        <v>Con ventas</v>
      </c>
      <c r="L155" s="20">
        <f t="shared" si="6"/>
        <v>338.31</v>
      </c>
      <c r="M155" s="20">
        <f t="shared" si="7"/>
        <v>3044.79</v>
      </c>
      <c r="N155" s="20">
        <f>Tabla1[[#This Row],[Venta Total (USD)]] - Tabla1[[#This Row],[Costo Total (USD)]]</f>
        <v>1304.9099999999999</v>
      </c>
    </row>
    <row r="156" spans="1:14" x14ac:dyDescent="0.25">
      <c r="A156" t="s">
        <v>16</v>
      </c>
      <c r="B156" t="s">
        <v>13</v>
      </c>
      <c r="C156" t="s">
        <v>36</v>
      </c>
      <c r="D156">
        <v>2022</v>
      </c>
      <c r="E156">
        <v>4</v>
      </c>
      <c r="F156">
        <v>3</v>
      </c>
      <c r="G156" s="20">
        <v>86.83</v>
      </c>
      <c r="H156" s="20">
        <f>Tabla1[[#This Row],[Cantidad Vendida]]*Tabla1[[#This Row],[Precio Unitario (USD)]]</f>
        <v>260.49</v>
      </c>
      <c r="I156" s="21">
        <v>8.3800000000000008</v>
      </c>
      <c r="J156" s="5">
        <f t="shared" si="8"/>
        <v>2182.9062000000004</v>
      </c>
      <c r="K156" t="str">
        <f>IF(Tabla1[[#This Row],[Venta Total (Q)]] = 0, "Sin ventas", "Con ventas")</f>
        <v>Con ventas</v>
      </c>
      <c r="L156" s="20">
        <f t="shared" si="6"/>
        <v>60.780999999999992</v>
      </c>
      <c r="M156" s="20">
        <f t="shared" si="7"/>
        <v>182.34299999999996</v>
      </c>
      <c r="N156" s="20">
        <f>Tabla1[[#This Row],[Venta Total (USD)]] - Tabla1[[#This Row],[Costo Total (USD)]]</f>
        <v>78.147000000000048</v>
      </c>
    </row>
    <row r="157" spans="1:14" x14ac:dyDescent="0.25">
      <c r="A157" t="s">
        <v>15</v>
      </c>
      <c r="B157" t="s">
        <v>28</v>
      </c>
      <c r="C157" t="s">
        <v>40</v>
      </c>
      <c r="D157">
        <v>2024</v>
      </c>
      <c r="E157">
        <v>7</v>
      </c>
      <c r="F157">
        <v>20</v>
      </c>
      <c r="G157" s="20">
        <v>328.92</v>
      </c>
      <c r="H157" s="20">
        <f>Tabla1[[#This Row],[Cantidad Vendida]]*Tabla1[[#This Row],[Precio Unitario (USD)]]</f>
        <v>6578.4000000000005</v>
      </c>
      <c r="I157" s="21">
        <v>8.43</v>
      </c>
      <c r="J157" s="5">
        <f t="shared" si="8"/>
        <v>55455.912000000004</v>
      </c>
      <c r="K157" t="str">
        <f>IF(Tabla1[[#This Row],[Venta Total (Q)]] = 0, "Sin ventas", "Con ventas")</f>
        <v>Con ventas</v>
      </c>
      <c r="L157" s="20">
        <f t="shared" si="6"/>
        <v>230.244</v>
      </c>
      <c r="M157" s="20">
        <f t="shared" si="7"/>
        <v>4604.88</v>
      </c>
      <c r="N157" s="20">
        <f>Tabla1[[#This Row],[Venta Total (USD)]] - Tabla1[[#This Row],[Costo Total (USD)]]</f>
        <v>1973.5200000000004</v>
      </c>
    </row>
    <row r="158" spans="1:14" x14ac:dyDescent="0.25">
      <c r="A158" t="s">
        <v>10</v>
      </c>
      <c r="B158" t="s">
        <v>21</v>
      </c>
      <c r="C158" t="s">
        <v>32</v>
      </c>
      <c r="D158">
        <v>2024</v>
      </c>
      <c r="E158">
        <v>1</v>
      </c>
      <c r="F158">
        <v>14</v>
      </c>
      <c r="G158" s="20">
        <v>449.36</v>
      </c>
      <c r="H158" s="20">
        <f>Tabla1[[#This Row],[Cantidad Vendida]]*Tabla1[[#This Row],[Precio Unitario (USD)]]</f>
        <v>6291.04</v>
      </c>
      <c r="I158" s="21">
        <v>8.14</v>
      </c>
      <c r="J158" s="5">
        <f t="shared" si="8"/>
        <v>51209.065600000002</v>
      </c>
      <c r="K158" t="str">
        <f>IF(Tabla1[[#This Row],[Venta Total (Q)]] = 0, "Sin ventas", "Con ventas")</f>
        <v>Con ventas</v>
      </c>
      <c r="L158" s="20">
        <f t="shared" si="6"/>
        <v>314.55199999999996</v>
      </c>
      <c r="M158" s="20">
        <f t="shared" si="7"/>
        <v>4403.7279999999992</v>
      </c>
      <c r="N158" s="20">
        <f>Tabla1[[#This Row],[Venta Total (USD)]] - Tabla1[[#This Row],[Costo Total (USD)]]</f>
        <v>1887.3120000000008</v>
      </c>
    </row>
    <row r="159" spans="1:14" x14ac:dyDescent="0.25">
      <c r="A159" t="s">
        <v>15</v>
      </c>
      <c r="B159" t="s">
        <v>11</v>
      </c>
      <c r="C159" t="s">
        <v>37</v>
      </c>
      <c r="D159">
        <v>2024</v>
      </c>
      <c r="E159">
        <v>5</v>
      </c>
      <c r="F159">
        <v>17</v>
      </c>
      <c r="G159" s="20">
        <v>51.73</v>
      </c>
      <c r="H159" s="20">
        <f>Tabla1[[#This Row],[Cantidad Vendida]]*Tabla1[[#This Row],[Precio Unitario (USD)]]</f>
        <v>879.41</v>
      </c>
      <c r="I159" s="21">
        <v>7.78</v>
      </c>
      <c r="J159" s="5">
        <f t="shared" si="8"/>
        <v>6841.8098</v>
      </c>
      <c r="K159" t="str">
        <f>IF(Tabla1[[#This Row],[Venta Total (Q)]] = 0, "Sin ventas", "Con ventas")</f>
        <v>Con ventas</v>
      </c>
      <c r="L159" s="20">
        <f t="shared" si="6"/>
        <v>36.210999999999999</v>
      </c>
      <c r="M159" s="20">
        <f t="shared" si="7"/>
        <v>615.58699999999999</v>
      </c>
      <c r="N159" s="20">
        <f>Tabla1[[#This Row],[Venta Total (USD)]] - Tabla1[[#This Row],[Costo Total (USD)]]</f>
        <v>263.82299999999998</v>
      </c>
    </row>
    <row r="160" spans="1:14" x14ac:dyDescent="0.25">
      <c r="A160" t="s">
        <v>10</v>
      </c>
      <c r="B160" t="s">
        <v>17</v>
      </c>
      <c r="C160" t="s">
        <v>26</v>
      </c>
      <c r="D160">
        <v>2025</v>
      </c>
      <c r="E160">
        <v>5</v>
      </c>
      <c r="F160">
        <v>14</v>
      </c>
      <c r="G160" s="20">
        <v>30.98</v>
      </c>
      <c r="H160" s="20">
        <f>Tabla1[[#This Row],[Cantidad Vendida]]*Tabla1[[#This Row],[Precio Unitario (USD)]]</f>
        <v>433.72</v>
      </c>
      <c r="I160" s="21">
        <v>8.26</v>
      </c>
      <c r="J160" s="5">
        <f t="shared" si="8"/>
        <v>3582.5272</v>
      </c>
      <c r="K160" t="str">
        <f>IF(Tabla1[[#This Row],[Venta Total (Q)]] = 0, "Sin ventas", "Con ventas")</f>
        <v>Con ventas</v>
      </c>
      <c r="L160" s="20">
        <f t="shared" si="6"/>
        <v>21.686</v>
      </c>
      <c r="M160" s="20">
        <f t="shared" si="7"/>
        <v>303.60399999999998</v>
      </c>
      <c r="N160" s="20">
        <f>Tabla1[[#This Row],[Venta Total (USD)]] - Tabla1[[#This Row],[Costo Total (USD)]]</f>
        <v>130.11600000000004</v>
      </c>
    </row>
    <row r="161" spans="1:14" x14ac:dyDescent="0.25">
      <c r="A161" t="s">
        <v>16</v>
      </c>
      <c r="B161" t="s">
        <v>13</v>
      </c>
      <c r="C161" t="s">
        <v>30</v>
      </c>
      <c r="D161">
        <v>2025</v>
      </c>
      <c r="E161">
        <v>6</v>
      </c>
      <c r="F161">
        <v>19</v>
      </c>
      <c r="G161" s="20">
        <v>409.53</v>
      </c>
      <c r="H161" s="20">
        <f>Tabla1[[#This Row],[Cantidad Vendida]]*Tabla1[[#This Row],[Precio Unitario (USD)]]</f>
        <v>7781.07</v>
      </c>
      <c r="I161" s="21">
        <v>7.59</v>
      </c>
      <c r="J161" s="5">
        <f t="shared" si="8"/>
        <v>59058.321299999996</v>
      </c>
      <c r="K161" t="str">
        <f>IF(Tabla1[[#This Row],[Venta Total (Q)]] = 0, "Sin ventas", "Con ventas")</f>
        <v>Con ventas</v>
      </c>
      <c r="L161" s="20">
        <f t="shared" si="6"/>
        <v>286.67099999999994</v>
      </c>
      <c r="M161" s="20">
        <f t="shared" si="7"/>
        <v>5446.7489999999989</v>
      </c>
      <c r="N161" s="20">
        <f>Tabla1[[#This Row],[Venta Total (USD)]] - Tabla1[[#This Row],[Costo Total (USD)]]</f>
        <v>2334.3210000000008</v>
      </c>
    </row>
    <row r="162" spans="1:14" x14ac:dyDescent="0.25">
      <c r="A162" t="s">
        <v>10</v>
      </c>
      <c r="B162" t="s">
        <v>17</v>
      </c>
      <c r="C162" t="s">
        <v>33</v>
      </c>
      <c r="D162">
        <v>2025</v>
      </c>
      <c r="E162">
        <v>2</v>
      </c>
      <c r="F162">
        <v>8</v>
      </c>
      <c r="G162" s="20">
        <v>352.64</v>
      </c>
      <c r="H162" s="20">
        <f>Tabla1[[#This Row],[Cantidad Vendida]]*Tabla1[[#This Row],[Precio Unitario (USD)]]</f>
        <v>2821.12</v>
      </c>
      <c r="I162" s="21">
        <v>8.39</v>
      </c>
      <c r="J162" s="5">
        <f t="shared" si="8"/>
        <v>23669.196800000002</v>
      </c>
      <c r="K162" t="str">
        <f>IF(Tabla1[[#This Row],[Venta Total (Q)]] = 0, "Sin ventas", "Con ventas")</f>
        <v>Con ventas</v>
      </c>
      <c r="L162" s="20">
        <f t="shared" si="6"/>
        <v>246.84799999999998</v>
      </c>
      <c r="M162" s="20">
        <f t="shared" si="7"/>
        <v>1974.7839999999999</v>
      </c>
      <c r="N162" s="20">
        <f>Tabla1[[#This Row],[Venta Total (USD)]] - Tabla1[[#This Row],[Costo Total (USD)]]</f>
        <v>846.33600000000001</v>
      </c>
    </row>
    <row r="163" spans="1:14" x14ac:dyDescent="0.25">
      <c r="A163" t="s">
        <v>20</v>
      </c>
      <c r="B163" t="s">
        <v>11</v>
      </c>
      <c r="C163" t="s">
        <v>37</v>
      </c>
      <c r="D163">
        <v>2025</v>
      </c>
      <c r="E163">
        <v>8</v>
      </c>
      <c r="F163">
        <v>10</v>
      </c>
      <c r="G163" s="20">
        <v>29.27</v>
      </c>
      <c r="H163" s="20">
        <f>Tabla1[[#This Row],[Cantidad Vendida]]*Tabla1[[#This Row],[Precio Unitario (USD)]]</f>
        <v>292.7</v>
      </c>
      <c r="I163" s="21">
        <v>8.49</v>
      </c>
      <c r="J163" s="5">
        <f t="shared" si="8"/>
        <v>2485.0230000000001</v>
      </c>
      <c r="K163" t="str">
        <f>IF(Tabla1[[#This Row],[Venta Total (Q)]] = 0, "Sin ventas", "Con ventas")</f>
        <v>Con ventas</v>
      </c>
      <c r="L163" s="20">
        <f t="shared" si="6"/>
        <v>20.488999999999997</v>
      </c>
      <c r="M163" s="20">
        <f t="shared" si="7"/>
        <v>204.89</v>
      </c>
      <c r="N163" s="20">
        <f>Tabla1[[#This Row],[Venta Total (USD)]] - Tabla1[[#This Row],[Costo Total (USD)]]</f>
        <v>87.81</v>
      </c>
    </row>
    <row r="164" spans="1:14" x14ac:dyDescent="0.25">
      <c r="A164" t="s">
        <v>31</v>
      </c>
      <c r="B164" t="s">
        <v>11</v>
      </c>
      <c r="C164" t="s">
        <v>37</v>
      </c>
      <c r="D164">
        <v>2025</v>
      </c>
      <c r="E164">
        <v>9</v>
      </c>
      <c r="F164">
        <v>14</v>
      </c>
      <c r="G164" s="20">
        <v>177.37</v>
      </c>
      <c r="H164" s="20">
        <f>Tabla1[[#This Row],[Cantidad Vendida]]*Tabla1[[#This Row],[Precio Unitario (USD)]]</f>
        <v>2483.1800000000003</v>
      </c>
      <c r="I164" s="21">
        <v>7.85</v>
      </c>
      <c r="J164" s="5">
        <f t="shared" si="8"/>
        <v>19492.963</v>
      </c>
      <c r="K164" t="str">
        <f>IF(Tabla1[[#This Row],[Venta Total (Q)]] = 0, "Sin ventas", "Con ventas")</f>
        <v>Con ventas</v>
      </c>
      <c r="L164" s="20">
        <f t="shared" si="6"/>
        <v>124.15899999999999</v>
      </c>
      <c r="M164" s="20">
        <f t="shared" si="7"/>
        <v>1738.2259999999999</v>
      </c>
      <c r="N164" s="20">
        <f>Tabla1[[#This Row],[Venta Total (USD)]] - Tabla1[[#This Row],[Costo Total (USD)]]</f>
        <v>744.95400000000041</v>
      </c>
    </row>
    <row r="165" spans="1:14" x14ac:dyDescent="0.25">
      <c r="A165" t="s">
        <v>20</v>
      </c>
      <c r="B165" t="s">
        <v>11</v>
      </c>
      <c r="C165" t="s">
        <v>23</v>
      </c>
      <c r="D165">
        <v>2022</v>
      </c>
      <c r="E165">
        <v>3</v>
      </c>
      <c r="F165">
        <v>14</v>
      </c>
      <c r="G165" s="20">
        <v>116.04</v>
      </c>
      <c r="H165" s="20">
        <f>Tabla1[[#This Row],[Cantidad Vendida]]*Tabla1[[#This Row],[Precio Unitario (USD)]]</f>
        <v>1624.5600000000002</v>
      </c>
      <c r="I165" s="21">
        <v>7.85</v>
      </c>
      <c r="J165" s="5">
        <f t="shared" si="8"/>
        <v>12752.796</v>
      </c>
      <c r="K165" t="str">
        <f>IF(Tabla1[[#This Row],[Venta Total (Q)]] = 0, "Sin ventas", "Con ventas")</f>
        <v>Con ventas</v>
      </c>
      <c r="L165" s="20">
        <f t="shared" si="6"/>
        <v>81.227999999999994</v>
      </c>
      <c r="M165" s="20">
        <f t="shared" si="7"/>
        <v>1137.192</v>
      </c>
      <c r="N165" s="20">
        <f>Tabla1[[#This Row],[Venta Total (USD)]] - Tabla1[[#This Row],[Costo Total (USD)]]</f>
        <v>487.36800000000017</v>
      </c>
    </row>
    <row r="166" spans="1:14" x14ac:dyDescent="0.25">
      <c r="A166" t="s">
        <v>35</v>
      </c>
      <c r="B166" t="s">
        <v>28</v>
      </c>
      <c r="C166" t="s">
        <v>29</v>
      </c>
      <c r="D166">
        <v>2024</v>
      </c>
      <c r="E166">
        <v>1</v>
      </c>
      <c r="F166">
        <v>12</v>
      </c>
      <c r="G166" s="20">
        <v>32.65</v>
      </c>
      <c r="H166" s="20">
        <f>Tabla1[[#This Row],[Cantidad Vendida]]*Tabla1[[#This Row],[Precio Unitario (USD)]]</f>
        <v>391.79999999999995</v>
      </c>
      <c r="I166" s="21">
        <v>8.06</v>
      </c>
      <c r="J166" s="5">
        <f t="shared" si="8"/>
        <v>3157.9079999999999</v>
      </c>
      <c r="K166" t="str">
        <f>IF(Tabla1[[#This Row],[Venta Total (Q)]] = 0, "Sin ventas", "Con ventas")</f>
        <v>Con ventas</v>
      </c>
      <c r="L166" s="20">
        <f t="shared" si="6"/>
        <v>22.854999999999997</v>
      </c>
      <c r="M166" s="20">
        <f t="shared" si="7"/>
        <v>274.26</v>
      </c>
      <c r="N166" s="20">
        <f>Tabla1[[#This Row],[Venta Total (USD)]] - Tabla1[[#This Row],[Costo Total (USD)]]</f>
        <v>117.53999999999996</v>
      </c>
    </row>
    <row r="167" spans="1:14" x14ac:dyDescent="0.25">
      <c r="A167" t="s">
        <v>31</v>
      </c>
      <c r="B167" t="s">
        <v>13</v>
      </c>
      <c r="C167" t="s">
        <v>30</v>
      </c>
      <c r="D167">
        <v>2025</v>
      </c>
      <c r="E167">
        <v>7</v>
      </c>
      <c r="F167">
        <v>12</v>
      </c>
      <c r="G167" s="20">
        <v>40.700000000000003</v>
      </c>
      <c r="H167" s="20">
        <f>Tabla1[[#This Row],[Cantidad Vendida]]*Tabla1[[#This Row],[Precio Unitario (USD)]]</f>
        <v>488.40000000000003</v>
      </c>
      <c r="I167" s="21">
        <v>7.51</v>
      </c>
      <c r="J167" s="5">
        <f t="shared" si="8"/>
        <v>3667.884</v>
      </c>
      <c r="K167" t="str">
        <f>IF(Tabla1[[#This Row],[Venta Total (Q)]] = 0, "Sin ventas", "Con ventas")</f>
        <v>Con ventas</v>
      </c>
      <c r="L167" s="20">
        <f t="shared" si="6"/>
        <v>28.49</v>
      </c>
      <c r="M167" s="20">
        <f t="shared" si="7"/>
        <v>341.88</v>
      </c>
      <c r="N167" s="20">
        <f>Tabla1[[#This Row],[Venta Total (USD)]] - Tabla1[[#This Row],[Costo Total (USD)]]</f>
        <v>146.52000000000004</v>
      </c>
    </row>
    <row r="168" spans="1:14" x14ac:dyDescent="0.25">
      <c r="A168" t="s">
        <v>20</v>
      </c>
      <c r="B168" t="s">
        <v>17</v>
      </c>
      <c r="C168" t="s">
        <v>19</v>
      </c>
      <c r="D168">
        <v>2023</v>
      </c>
      <c r="E168">
        <v>10</v>
      </c>
      <c r="F168">
        <v>10</v>
      </c>
      <c r="G168" s="20">
        <v>493.97</v>
      </c>
      <c r="H168" s="20">
        <f>Tabla1[[#This Row],[Cantidad Vendida]]*Tabla1[[#This Row],[Precio Unitario (USD)]]</f>
        <v>4939.7000000000007</v>
      </c>
      <c r="I168" s="21">
        <v>7.51</v>
      </c>
      <c r="J168" s="5">
        <f t="shared" si="8"/>
        <v>37097.147000000004</v>
      </c>
      <c r="K168" t="str">
        <f>IF(Tabla1[[#This Row],[Venta Total (Q)]] = 0, "Sin ventas", "Con ventas")</f>
        <v>Con ventas</v>
      </c>
      <c r="L168" s="20">
        <f t="shared" si="6"/>
        <v>345.779</v>
      </c>
      <c r="M168" s="20">
        <f t="shared" si="7"/>
        <v>3457.79</v>
      </c>
      <c r="N168" s="20">
        <f>Tabla1[[#This Row],[Venta Total (USD)]] - Tabla1[[#This Row],[Costo Total (USD)]]</f>
        <v>1481.9100000000008</v>
      </c>
    </row>
    <row r="169" spans="1:14" x14ac:dyDescent="0.25">
      <c r="A169" t="s">
        <v>35</v>
      </c>
      <c r="B169" t="s">
        <v>21</v>
      </c>
      <c r="C169" t="s">
        <v>22</v>
      </c>
      <c r="D169">
        <v>2022</v>
      </c>
      <c r="E169">
        <v>7</v>
      </c>
      <c r="F169">
        <v>6</v>
      </c>
      <c r="G169" s="20">
        <v>49.77</v>
      </c>
      <c r="H169" s="20">
        <f>Tabla1[[#This Row],[Cantidad Vendida]]*Tabla1[[#This Row],[Precio Unitario (USD)]]</f>
        <v>298.62</v>
      </c>
      <c r="I169" s="21">
        <v>8.3800000000000008</v>
      </c>
      <c r="J169" s="5">
        <f t="shared" si="8"/>
        <v>2502.4356000000002</v>
      </c>
      <c r="K169" t="str">
        <f>IF(Tabla1[[#This Row],[Venta Total (Q)]] = 0, "Sin ventas", "Con ventas")</f>
        <v>Con ventas</v>
      </c>
      <c r="L169" s="20">
        <f t="shared" si="6"/>
        <v>34.838999999999999</v>
      </c>
      <c r="M169" s="20">
        <f t="shared" si="7"/>
        <v>209.03399999999999</v>
      </c>
      <c r="N169" s="20">
        <f>Tabla1[[#This Row],[Venta Total (USD)]] - Tabla1[[#This Row],[Costo Total (USD)]]</f>
        <v>89.586000000000013</v>
      </c>
    </row>
    <row r="170" spans="1:14" x14ac:dyDescent="0.25">
      <c r="A170" t="s">
        <v>15</v>
      </c>
      <c r="B170" t="s">
        <v>21</v>
      </c>
      <c r="C170" t="s">
        <v>32</v>
      </c>
      <c r="D170">
        <v>2025</v>
      </c>
      <c r="E170">
        <v>11</v>
      </c>
      <c r="F170">
        <v>12</v>
      </c>
      <c r="G170" s="20">
        <v>451.63</v>
      </c>
      <c r="H170" s="20">
        <f>Tabla1[[#This Row],[Cantidad Vendida]]*Tabla1[[#This Row],[Precio Unitario (USD)]]</f>
        <v>5419.5599999999995</v>
      </c>
      <c r="I170" s="21">
        <v>8.23</v>
      </c>
      <c r="J170" s="5">
        <f t="shared" si="8"/>
        <v>44602.978799999997</v>
      </c>
      <c r="K170" t="str">
        <f>IF(Tabla1[[#This Row],[Venta Total (Q)]] = 0, "Sin ventas", "Con ventas")</f>
        <v>Con ventas</v>
      </c>
      <c r="L170" s="20">
        <f t="shared" si="6"/>
        <v>316.14099999999996</v>
      </c>
      <c r="M170" s="20">
        <f t="shared" si="7"/>
        <v>3793.6919999999996</v>
      </c>
      <c r="N170" s="20">
        <f>Tabla1[[#This Row],[Venta Total (USD)]] - Tabla1[[#This Row],[Costo Total (USD)]]</f>
        <v>1625.8679999999999</v>
      </c>
    </row>
    <row r="171" spans="1:14" x14ac:dyDescent="0.25">
      <c r="A171" t="s">
        <v>20</v>
      </c>
      <c r="B171" t="s">
        <v>28</v>
      </c>
      <c r="C171" t="s">
        <v>38</v>
      </c>
      <c r="D171">
        <v>2025</v>
      </c>
      <c r="E171">
        <v>9</v>
      </c>
      <c r="F171">
        <v>12</v>
      </c>
      <c r="G171" s="20">
        <v>229.38</v>
      </c>
      <c r="H171" s="20">
        <f>Tabla1[[#This Row],[Cantidad Vendida]]*Tabla1[[#This Row],[Precio Unitario (USD)]]</f>
        <v>2752.56</v>
      </c>
      <c r="I171" s="21">
        <v>7.62</v>
      </c>
      <c r="J171" s="5">
        <f t="shared" si="8"/>
        <v>20974.5072</v>
      </c>
      <c r="K171" t="str">
        <f>IF(Tabla1[[#This Row],[Venta Total (Q)]] = 0, "Sin ventas", "Con ventas")</f>
        <v>Con ventas</v>
      </c>
      <c r="L171" s="20">
        <f t="shared" si="6"/>
        <v>160.56599999999997</v>
      </c>
      <c r="M171" s="20">
        <f t="shared" si="7"/>
        <v>1926.7919999999997</v>
      </c>
      <c r="N171" s="20">
        <f>Tabla1[[#This Row],[Venta Total (USD)]] - Tabla1[[#This Row],[Costo Total (USD)]]</f>
        <v>825.76800000000026</v>
      </c>
    </row>
    <row r="172" spans="1:14" x14ac:dyDescent="0.25">
      <c r="A172" t="s">
        <v>15</v>
      </c>
      <c r="B172" t="s">
        <v>17</v>
      </c>
      <c r="C172" t="s">
        <v>33</v>
      </c>
      <c r="D172">
        <v>2022</v>
      </c>
      <c r="E172">
        <v>9</v>
      </c>
      <c r="F172">
        <v>18</v>
      </c>
      <c r="G172" s="20">
        <v>375.44</v>
      </c>
      <c r="H172" s="20">
        <f>Tabla1[[#This Row],[Cantidad Vendida]]*Tabla1[[#This Row],[Precio Unitario (USD)]]</f>
        <v>6757.92</v>
      </c>
      <c r="I172" s="21">
        <v>7.56</v>
      </c>
      <c r="J172" s="5">
        <f t="shared" si="8"/>
        <v>51089.875199999995</v>
      </c>
      <c r="K172" t="str">
        <f>IF(Tabla1[[#This Row],[Venta Total (Q)]] = 0, "Sin ventas", "Con ventas")</f>
        <v>Con ventas</v>
      </c>
      <c r="L172" s="20">
        <f t="shared" si="6"/>
        <v>262.80799999999999</v>
      </c>
      <c r="M172" s="20">
        <f t="shared" si="7"/>
        <v>4730.5439999999999</v>
      </c>
      <c r="N172" s="20">
        <f>Tabla1[[#This Row],[Venta Total (USD)]] - Tabla1[[#This Row],[Costo Total (USD)]]</f>
        <v>2027.3760000000002</v>
      </c>
    </row>
    <row r="173" spans="1:14" x14ac:dyDescent="0.25">
      <c r="A173" t="s">
        <v>31</v>
      </c>
      <c r="B173" t="s">
        <v>11</v>
      </c>
      <c r="C173" t="s">
        <v>37</v>
      </c>
      <c r="D173">
        <v>2024</v>
      </c>
      <c r="E173">
        <v>8</v>
      </c>
      <c r="F173">
        <v>5</v>
      </c>
      <c r="G173" s="20">
        <v>174.64</v>
      </c>
      <c r="H173" s="20">
        <f>Tabla1[[#This Row],[Cantidad Vendida]]*Tabla1[[#This Row],[Precio Unitario (USD)]]</f>
        <v>873.19999999999993</v>
      </c>
      <c r="I173" s="21">
        <v>7.78</v>
      </c>
      <c r="J173" s="5">
        <f t="shared" si="8"/>
        <v>6793.4960000000001</v>
      </c>
      <c r="K173" t="str">
        <f>IF(Tabla1[[#This Row],[Venta Total (Q)]] = 0, "Sin ventas", "Con ventas")</f>
        <v>Con ventas</v>
      </c>
      <c r="L173" s="20">
        <f t="shared" si="6"/>
        <v>122.24799999999998</v>
      </c>
      <c r="M173" s="20">
        <f t="shared" si="7"/>
        <v>611.2399999999999</v>
      </c>
      <c r="N173" s="20">
        <f>Tabla1[[#This Row],[Venta Total (USD)]] - Tabla1[[#This Row],[Costo Total (USD)]]</f>
        <v>261.96000000000004</v>
      </c>
    </row>
    <row r="174" spans="1:14" x14ac:dyDescent="0.25">
      <c r="A174" t="s">
        <v>10</v>
      </c>
      <c r="B174" t="s">
        <v>17</v>
      </c>
      <c r="C174" t="s">
        <v>26</v>
      </c>
      <c r="D174">
        <v>2025</v>
      </c>
      <c r="E174">
        <v>2</v>
      </c>
      <c r="F174">
        <v>16</v>
      </c>
      <c r="G174" s="20">
        <v>219.57</v>
      </c>
      <c r="H174" s="20">
        <f>Tabla1[[#This Row],[Cantidad Vendida]]*Tabla1[[#This Row],[Precio Unitario (USD)]]</f>
        <v>3513.12</v>
      </c>
      <c r="I174" s="21">
        <v>7.64</v>
      </c>
      <c r="J174" s="5">
        <f t="shared" si="8"/>
        <v>26840.236799999999</v>
      </c>
      <c r="K174" t="str">
        <f>IF(Tabla1[[#This Row],[Venta Total (Q)]] = 0, "Sin ventas", "Con ventas")</f>
        <v>Con ventas</v>
      </c>
      <c r="L174" s="20">
        <f t="shared" si="6"/>
        <v>153.69899999999998</v>
      </c>
      <c r="M174" s="20">
        <f t="shared" si="7"/>
        <v>2459.1839999999997</v>
      </c>
      <c r="N174" s="20">
        <f>Tabla1[[#This Row],[Venta Total (USD)]] - Tabla1[[#This Row],[Costo Total (USD)]]</f>
        <v>1053.9360000000001</v>
      </c>
    </row>
    <row r="175" spans="1:14" x14ac:dyDescent="0.25">
      <c r="A175" t="s">
        <v>16</v>
      </c>
      <c r="B175" t="s">
        <v>13</v>
      </c>
      <c r="C175" t="s">
        <v>30</v>
      </c>
      <c r="D175">
        <v>2025</v>
      </c>
      <c r="E175">
        <v>7</v>
      </c>
      <c r="F175">
        <v>16</v>
      </c>
      <c r="G175" s="20">
        <v>63.78</v>
      </c>
      <c r="H175" s="20">
        <f>Tabla1[[#This Row],[Cantidad Vendida]]*Tabla1[[#This Row],[Precio Unitario (USD)]]</f>
        <v>1020.48</v>
      </c>
      <c r="I175" s="21">
        <v>7.66</v>
      </c>
      <c r="J175" s="5">
        <f t="shared" si="8"/>
        <v>7816.8768</v>
      </c>
      <c r="K175" t="str">
        <f>IF(Tabla1[[#This Row],[Venta Total (Q)]] = 0, "Sin ventas", "Con ventas")</f>
        <v>Con ventas</v>
      </c>
      <c r="L175" s="20">
        <f t="shared" si="6"/>
        <v>44.646000000000001</v>
      </c>
      <c r="M175" s="20">
        <f t="shared" si="7"/>
        <v>714.33600000000001</v>
      </c>
      <c r="N175" s="20">
        <f>Tabla1[[#This Row],[Venta Total (USD)]] - Tabla1[[#This Row],[Costo Total (USD)]]</f>
        <v>306.14400000000001</v>
      </c>
    </row>
    <row r="176" spans="1:14" x14ac:dyDescent="0.25">
      <c r="A176" t="s">
        <v>15</v>
      </c>
      <c r="B176" t="s">
        <v>13</v>
      </c>
      <c r="C176" t="s">
        <v>27</v>
      </c>
      <c r="D176">
        <v>2025</v>
      </c>
      <c r="E176">
        <v>11</v>
      </c>
      <c r="F176">
        <v>14</v>
      </c>
      <c r="G176" s="20">
        <v>454.01</v>
      </c>
      <c r="H176" s="20">
        <f>Tabla1[[#This Row],[Cantidad Vendida]]*Tabla1[[#This Row],[Precio Unitario (USD)]]</f>
        <v>6356.1399999999994</v>
      </c>
      <c r="I176" s="21">
        <v>8.49</v>
      </c>
      <c r="J176" s="5">
        <f t="shared" si="8"/>
        <v>53963.628599999996</v>
      </c>
      <c r="K176" t="str">
        <f>IF(Tabla1[[#This Row],[Venta Total (Q)]] = 0, "Sin ventas", "Con ventas")</f>
        <v>Con ventas</v>
      </c>
      <c r="L176" s="20">
        <f t="shared" si="6"/>
        <v>317.80699999999996</v>
      </c>
      <c r="M176" s="20">
        <f t="shared" si="7"/>
        <v>4449.2979999999998</v>
      </c>
      <c r="N176" s="20">
        <f>Tabla1[[#This Row],[Venta Total (USD)]] - Tabla1[[#This Row],[Costo Total (USD)]]</f>
        <v>1906.8419999999996</v>
      </c>
    </row>
    <row r="177" spans="1:14" x14ac:dyDescent="0.25">
      <c r="A177" t="s">
        <v>31</v>
      </c>
      <c r="B177" t="s">
        <v>11</v>
      </c>
      <c r="C177" t="s">
        <v>37</v>
      </c>
      <c r="D177">
        <v>2024</v>
      </c>
      <c r="E177">
        <v>10</v>
      </c>
      <c r="F177">
        <v>15</v>
      </c>
      <c r="G177" s="20">
        <v>212.55</v>
      </c>
      <c r="H177" s="20">
        <f>Tabla1[[#This Row],[Cantidad Vendida]]*Tabla1[[#This Row],[Precio Unitario (USD)]]</f>
        <v>3188.25</v>
      </c>
      <c r="I177" s="21">
        <v>8.41</v>
      </c>
      <c r="J177" s="5">
        <f t="shared" si="8"/>
        <v>26813.182499999999</v>
      </c>
      <c r="K177" t="str">
        <f>IF(Tabla1[[#This Row],[Venta Total (Q)]] = 0, "Sin ventas", "Con ventas")</f>
        <v>Con ventas</v>
      </c>
      <c r="L177" s="20">
        <f t="shared" si="6"/>
        <v>148.785</v>
      </c>
      <c r="M177" s="20">
        <f t="shared" si="7"/>
        <v>2231.7750000000001</v>
      </c>
      <c r="N177" s="20">
        <f>Tabla1[[#This Row],[Venta Total (USD)]] - Tabla1[[#This Row],[Costo Total (USD)]]</f>
        <v>956.47499999999991</v>
      </c>
    </row>
    <row r="178" spans="1:14" x14ac:dyDescent="0.25">
      <c r="A178" t="s">
        <v>15</v>
      </c>
      <c r="B178" t="s">
        <v>21</v>
      </c>
      <c r="C178" t="s">
        <v>24</v>
      </c>
      <c r="D178">
        <v>2025</v>
      </c>
      <c r="E178">
        <v>10</v>
      </c>
      <c r="F178">
        <v>8</v>
      </c>
      <c r="G178" s="20">
        <v>232.42</v>
      </c>
      <c r="H178" s="20">
        <f>Tabla1[[#This Row],[Cantidad Vendida]]*Tabla1[[#This Row],[Precio Unitario (USD)]]</f>
        <v>1859.36</v>
      </c>
      <c r="I178" s="21">
        <v>8.0399999999999991</v>
      </c>
      <c r="J178" s="5">
        <f t="shared" si="8"/>
        <v>14949.254399999998</v>
      </c>
      <c r="K178" t="str">
        <f>IF(Tabla1[[#This Row],[Venta Total (Q)]] = 0, "Sin ventas", "Con ventas")</f>
        <v>Con ventas</v>
      </c>
      <c r="L178" s="20">
        <f t="shared" si="6"/>
        <v>162.69399999999999</v>
      </c>
      <c r="M178" s="20">
        <f t="shared" si="7"/>
        <v>1301.5519999999999</v>
      </c>
      <c r="N178" s="20">
        <f>Tabla1[[#This Row],[Venta Total (USD)]] - Tabla1[[#This Row],[Costo Total (USD)]]</f>
        <v>557.80799999999999</v>
      </c>
    </row>
    <row r="179" spans="1:14" x14ac:dyDescent="0.25">
      <c r="A179" t="s">
        <v>20</v>
      </c>
      <c r="B179" t="s">
        <v>28</v>
      </c>
      <c r="C179" t="s">
        <v>40</v>
      </c>
      <c r="D179">
        <v>2025</v>
      </c>
      <c r="E179">
        <v>9</v>
      </c>
      <c r="F179">
        <v>8</v>
      </c>
      <c r="G179" s="20">
        <v>50.17</v>
      </c>
      <c r="H179" s="20">
        <f>Tabla1[[#This Row],[Cantidad Vendida]]*Tabla1[[#This Row],[Precio Unitario (USD)]]</f>
        <v>401.36</v>
      </c>
      <c r="I179" s="21">
        <v>7.83</v>
      </c>
      <c r="J179" s="5">
        <f t="shared" si="8"/>
        <v>3142.6487999999999</v>
      </c>
      <c r="K179" t="str">
        <f>IF(Tabla1[[#This Row],[Venta Total (Q)]] = 0, "Sin ventas", "Con ventas")</f>
        <v>Con ventas</v>
      </c>
      <c r="L179" s="20">
        <f t="shared" si="6"/>
        <v>35.119</v>
      </c>
      <c r="M179" s="20">
        <f t="shared" si="7"/>
        <v>280.952</v>
      </c>
      <c r="N179" s="20">
        <f>Tabla1[[#This Row],[Venta Total (USD)]] - Tabla1[[#This Row],[Costo Total (USD)]]</f>
        <v>120.40800000000002</v>
      </c>
    </row>
    <row r="180" spans="1:14" x14ac:dyDescent="0.25">
      <c r="A180" t="s">
        <v>10</v>
      </c>
      <c r="B180" t="s">
        <v>28</v>
      </c>
      <c r="C180" t="s">
        <v>40</v>
      </c>
      <c r="D180">
        <v>2023</v>
      </c>
      <c r="E180">
        <v>10</v>
      </c>
      <c r="F180">
        <v>12</v>
      </c>
      <c r="G180" s="20">
        <v>261.02999999999997</v>
      </c>
      <c r="H180" s="20">
        <f>Tabla1[[#This Row],[Cantidad Vendida]]*Tabla1[[#This Row],[Precio Unitario (USD)]]</f>
        <v>3132.3599999999997</v>
      </c>
      <c r="I180" s="21">
        <v>8.43</v>
      </c>
      <c r="J180" s="5">
        <f t="shared" si="8"/>
        <v>26405.794799999996</v>
      </c>
      <c r="K180" t="str">
        <f>IF(Tabla1[[#This Row],[Venta Total (Q)]] = 0, "Sin ventas", "Con ventas")</f>
        <v>Con ventas</v>
      </c>
      <c r="L180" s="20">
        <f t="shared" si="6"/>
        <v>182.72099999999998</v>
      </c>
      <c r="M180" s="20">
        <f t="shared" si="7"/>
        <v>2192.6519999999996</v>
      </c>
      <c r="N180" s="20">
        <f>Tabla1[[#This Row],[Venta Total (USD)]] - Tabla1[[#This Row],[Costo Total (USD)]]</f>
        <v>939.70800000000008</v>
      </c>
    </row>
    <row r="181" spans="1:14" x14ac:dyDescent="0.25">
      <c r="A181" t="s">
        <v>20</v>
      </c>
      <c r="B181" t="s">
        <v>28</v>
      </c>
      <c r="C181" t="s">
        <v>40</v>
      </c>
      <c r="D181">
        <v>2025</v>
      </c>
      <c r="E181">
        <v>7</v>
      </c>
      <c r="F181">
        <v>13</v>
      </c>
      <c r="G181" s="20">
        <v>309.43</v>
      </c>
      <c r="H181" s="20">
        <f>Tabla1[[#This Row],[Cantidad Vendida]]*Tabla1[[#This Row],[Precio Unitario (USD)]]</f>
        <v>4022.59</v>
      </c>
      <c r="I181" s="21">
        <v>7.96</v>
      </c>
      <c r="J181" s="5">
        <f t="shared" si="8"/>
        <v>32019.8164</v>
      </c>
      <c r="K181" t="str">
        <f>IF(Tabla1[[#This Row],[Venta Total (Q)]] = 0, "Sin ventas", "Con ventas")</f>
        <v>Con ventas</v>
      </c>
      <c r="L181" s="20">
        <f t="shared" si="6"/>
        <v>216.601</v>
      </c>
      <c r="M181" s="20">
        <f t="shared" si="7"/>
        <v>2815.8130000000001</v>
      </c>
      <c r="N181" s="20">
        <f>Tabla1[[#This Row],[Venta Total (USD)]] - Tabla1[[#This Row],[Costo Total (USD)]]</f>
        <v>1206.777</v>
      </c>
    </row>
    <row r="182" spans="1:14" x14ac:dyDescent="0.25">
      <c r="A182" t="s">
        <v>16</v>
      </c>
      <c r="B182" t="s">
        <v>13</v>
      </c>
      <c r="C182" t="s">
        <v>30</v>
      </c>
      <c r="D182">
        <v>2023</v>
      </c>
      <c r="E182">
        <v>7</v>
      </c>
      <c r="F182">
        <v>18</v>
      </c>
      <c r="G182" s="20">
        <v>195.99</v>
      </c>
      <c r="H182" s="20">
        <f>Tabla1[[#This Row],[Cantidad Vendida]]*Tabla1[[#This Row],[Precio Unitario (USD)]]</f>
        <v>3527.82</v>
      </c>
      <c r="I182" s="21">
        <v>8.39</v>
      </c>
      <c r="J182" s="5">
        <f t="shared" si="8"/>
        <v>29598.409800000005</v>
      </c>
      <c r="K182" t="str">
        <f>IF(Tabla1[[#This Row],[Venta Total (Q)]] = 0, "Sin ventas", "Con ventas")</f>
        <v>Con ventas</v>
      </c>
      <c r="L182" s="20">
        <f t="shared" si="6"/>
        <v>137.19299999999998</v>
      </c>
      <c r="M182" s="20">
        <f t="shared" si="7"/>
        <v>2469.4739999999997</v>
      </c>
      <c r="N182" s="20">
        <f>Tabla1[[#This Row],[Venta Total (USD)]] - Tabla1[[#This Row],[Costo Total (USD)]]</f>
        <v>1058.3460000000005</v>
      </c>
    </row>
    <row r="183" spans="1:14" x14ac:dyDescent="0.25">
      <c r="A183" t="s">
        <v>15</v>
      </c>
      <c r="B183" t="s">
        <v>21</v>
      </c>
      <c r="C183" t="s">
        <v>24</v>
      </c>
      <c r="D183">
        <v>2025</v>
      </c>
      <c r="E183">
        <v>9</v>
      </c>
      <c r="F183">
        <v>16</v>
      </c>
      <c r="G183" s="20">
        <v>285.33</v>
      </c>
      <c r="H183" s="20">
        <f>Tabla1[[#This Row],[Cantidad Vendida]]*Tabla1[[#This Row],[Precio Unitario (USD)]]</f>
        <v>4565.28</v>
      </c>
      <c r="I183" s="21">
        <v>8.33</v>
      </c>
      <c r="J183" s="5">
        <f t="shared" si="8"/>
        <v>38028.782399999996</v>
      </c>
      <c r="K183" t="str">
        <f>IF(Tabla1[[#This Row],[Venta Total (Q)]] = 0, "Sin ventas", "Con ventas")</f>
        <v>Con ventas</v>
      </c>
      <c r="L183" s="20">
        <f t="shared" si="6"/>
        <v>199.73099999999997</v>
      </c>
      <c r="M183" s="20">
        <f t="shared" si="7"/>
        <v>3195.6959999999995</v>
      </c>
      <c r="N183" s="20">
        <f>Tabla1[[#This Row],[Venta Total (USD)]] - Tabla1[[#This Row],[Costo Total (USD)]]</f>
        <v>1369.5840000000003</v>
      </c>
    </row>
    <row r="184" spans="1:14" x14ac:dyDescent="0.25">
      <c r="A184" t="s">
        <v>15</v>
      </c>
      <c r="B184" t="s">
        <v>17</v>
      </c>
      <c r="C184" t="s">
        <v>18</v>
      </c>
      <c r="D184">
        <v>2023</v>
      </c>
      <c r="E184">
        <v>5</v>
      </c>
      <c r="F184">
        <v>16</v>
      </c>
      <c r="G184" s="20">
        <v>83.89</v>
      </c>
      <c r="H184" s="20">
        <f>Tabla1[[#This Row],[Cantidad Vendida]]*Tabla1[[#This Row],[Precio Unitario (USD)]]</f>
        <v>1342.24</v>
      </c>
      <c r="I184" s="21">
        <v>8.4600000000000009</v>
      </c>
      <c r="J184" s="5">
        <f t="shared" si="8"/>
        <v>11355.350400000001</v>
      </c>
      <c r="K184" t="str">
        <f>IF(Tabla1[[#This Row],[Venta Total (Q)]] = 0, "Sin ventas", "Con ventas")</f>
        <v>Con ventas</v>
      </c>
      <c r="L184" s="20">
        <f t="shared" si="6"/>
        <v>58.722999999999999</v>
      </c>
      <c r="M184" s="20">
        <f t="shared" si="7"/>
        <v>939.56799999999998</v>
      </c>
      <c r="N184" s="20">
        <f>Tabla1[[#This Row],[Venta Total (USD)]] - Tabla1[[#This Row],[Costo Total (USD)]]</f>
        <v>402.67200000000003</v>
      </c>
    </row>
    <row r="185" spans="1:14" x14ac:dyDescent="0.25">
      <c r="A185" t="s">
        <v>15</v>
      </c>
      <c r="B185" t="s">
        <v>28</v>
      </c>
      <c r="C185" t="s">
        <v>39</v>
      </c>
      <c r="D185">
        <v>2023</v>
      </c>
      <c r="E185">
        <v>7</v>
      </c>
      <c r="F185">
        <v>9</v>
      </c>
      <c r="G185" s="20">
        <v>95.39</v>
      </c>
      <c r="H185" s="20">
        <f>Tabla1[[#This Row],[Cantidad Vendida]]*Tabla1[[#This Row],[Precio Unitario (USD)]]</f>
        <v>858.51</v>
      </c>
      <c r="I185" s="21">
        <v>7.89</v>
      </c>
      <c r="J185" s="5">
        <f t="shared" si="8"/>
        <v>6773.6439</v>
      </c>
      <c r="K185" t="str">
        <f>IF(Tabla1[[#This Row],[Venta Total (Q)]] = 0, "Sin ventas", "Con ventas")</f>
        <v>Con ventas</v>
      </c>
      <c r="L185" s="20">
        <f t="shared" si="6"/>
        <v>66.772999999999996</v>
      </c>
      <c r="M185" s="20">
        <f t="shared" si="7"/>
        <v>600.95699999999999</v>
      </c>
      <c r="N185" s="20">
        <f>Tabla1[[#This Row],[Venta Total (USD)]] - Tabla1[[#This Row],[Costo Total (USD)]]</f>
        <v>257.553</v>
      </c>
    </row>
    <row r="186" spans="1:14" x14ac:dyDescent="0.25">
      <c r="A186" t="s">
        <v>31</v>
      </c>
      <c r="B186" t="s">
        <v>21</v>
      </c>
      <c r="C186" t="s">
        <v>34</v>
      </c>
      <c r="D186">
        <v>2023</v>
      </c>
      <c r="E186">
        <v>2</v>
      </c>
      <c r="F186">
        <v>10</v>
      </c>
      <c r="G186" s="20">
        <v>127.15</v>
      </c>
      <c r="H186" s="20">
        <f>Tabla1[[#This Row],[Cantidad Vendida]]*Tabla1[[#This Row],[Precio Unitario (USD)]]</f>
        <v>1271.5</v>
      </c>
      <c r="I186" s="21">
        <v>8.07</v>
      </c>
      <c r="J186" s="5">
        <f t="shared" si="8"/>
        <v>10261.005000000001</v>
      </c>
      <c r="K186" t="str">
        <f>IF(Tabla1[[#This Row],[Venta Total (Q)]] = 0, "Sin ventas", "Con ventas")</f>
        <v>Con ventas</v>
      </c>
      <c r="L186" s="20">
        <f t="shared" si="6"/>
        <v>89.004999999999995</v>
      </c>
      <c r="M186" s="20">
        <f t="shared" si="7"/>
        <v>890.05</v>
      </c>
      <c r="N186" s="20">
        <f>Tabla1[[#This Row],[Venta Total (USD)]] - Tabla1[[#This Row],[Costo Total (USD)]]</f>
        <v>381.45000000000005</v>
      </c>
    </row>
    <row r="187" spans="1:14" x14ac:dyDescent="0.25">
      <c r="A187" t="s">
        <v>10</v>
      </c>
      <c r="B187" t="s">
        <v>17</v>
      </c>
      <c r="C187" t="s">
        <v>33</v>
      </c>
      <c r="D187">
        <v>2023</v>
      </c>
      <c r="E187">
        <v>11</v>
      </c>
      <c r="F187">
        <v>5</v>
      </c>
      <c r="G187" s="20">
        <v>43.01</v>
      </c>
      <c r="H187" s="20">
        <f>Tabla1[[#This Row],[Cantidad Vendida]]*Tabla1[[#This Row],[Precio Unitario (USD)]]</f>
        <v>215.04999999999998</v>
      </c>
      <c r="I187" s="21">
        <v>8.1999999999999993</v>
      </c>
      <c r="J187" s="5">
        <f t="shared" si="8"/>
        <v>1763.4099999999996</v>
      </c>
      <c r="K187" t="str">
        <f>IF(Tabla1[[#This Row],[Venta Total (Q)]] = 0, "Sin ventas", "Con ventas")</f>
        <v>Con ventas</v>
      </c>
      <c r="L187" s="20">
        <f t="shared" si="6"/>
        <v>30.106999999999996</v>
      </c>
      <c r="M187" s="20">
        <f t="shared" si="7"/>
        <v>150.53499999999997</v>
      </c>
      <c r="N187" s="20">
        <f>Tabla1[[#This Row],[Venta Total (USD)]] - Tabla1[[#This Row],[Costo Total (USD)]]</f>
        <v>64.515000000000015</v>
      </c>
    </row>
    <row r="188" spans="1:14" x14ac:dyDescent="0.25">
      <c r="A188" t="s">
        <v>20</v>
      </c>
      <c r="B188" t="s">
        <v>13</v>
      </c>
      <c r="C188" t="s">
        <v>14</v>
      </c>
      <c r="D188">
        <v>2023</v>
      </c>
      <c r="E188">
        <v>7</v>
      </c>
      <c r="F188">
        <v>18</v>
      </c>
      <c r="G188" s="20">
        <v>397.77</v>
      </c>
      <c r="H188" s="20">
        <f>Tabla1[[#This Row],[Cantidad Vendida]]*Tabla1[[#This Row],[Precio Unitario (USD)]]</f>
        <v>7159.86</v>
      </c>
      <c r="I188" s="21">
        <v>7.93</v>
      </c>
      <c r="J188" s="5">
        <f t="shared" si="8"/>
        <v>56777.689799999993</v>
      </c>
      <c r="K188" t="str">
        <f>IF(Tabla1[[#This Row],[Venta Total (Q)]] = 0, "Sin ventas", "Con ventas")</f>
        <v>Con ventas</v>
      </c>
      <c r="L188" s="20">
        <f t="shared" si="6"/>
        <v>278.43899999999996</v>
      </c>
      <c r="M188" s="20">
        <f t="shared" si="7"/>
        <v>5011.9019999999991</v>
      </c>
      <c r="N188" s="20">
        <f>Tabla1[[#This Row],[Venta Total (USD)]] - Tabla1[[#This Row],[Costo Total (USD)]]</f>
        <v>2147.9580000000005</v>
      </c>
    </row>
    <row r="189" spans="1:14" x14ac:dyDescent="0.25">
      <c r="A189" t="s">
        <v>31</v>
      </c>
      <c r="B189" t="s">
        <v>28</v>
      </c>
      <c r="C189" t="s">
        <v>40</v>
      </c>
      <c r="D189">
        <v>2022</v>
      </c>
      <c r="E189">
        <v>8</v>
      </c>
      <c r="F189">
        <v>13</v>
      </c>
      <c r="G189" s="20">
        <v>416.73</v>
      </c>
      <c r="H189" s="20">
        <f>Tabla1[[#This Row],[Cantidad Vendida]]*Tabla1[[#This Row],[Precio Unitario (USD)]]</f>
        <v>5417.49</v>
      </c>
      <c r="I189" s="21">
        <v>7.89</v>
      </c>
      <c r="J189" s="5">
        <f t="shared" si="8"/>
        <v>42743.996099999997</v>
      </c>
      <c r="K189" t="str">
        <f>IF(Tabla1[[#This Row],[Venta Total (Q)]] = 0, "Sin ventas", "Con ventas")</f>
        <v>Con ventas</v>
      </c>
      <c r="L189" s="20">
        <f t="shared" si="6"/>
        <v>291.71100000000001</v>
      </c>
      <c r="M189" s="20">
        <f t="shared" si="7"/>
        <v>3792.2430000000004</v>
      </c>
      <c r="N189" s="20">
        <f>Tabla1[[#This Row],[Venta Total (USD)]] - Tabla1[[#This Row],[Costo Total (USD)]]</f>
        <v>1625.2469999999994</v>
      </c>
    </row>
    <row r="190" spans="1:14" x14ac:dyDescent="0.25">
      <c r="A190" t="s">
        <v>20</v>
      </c>
      <c r="B190" t="s">
        <v>11</v>
      </c>
      <c r="C190" t="s">
        <v>23</v>
      </c>
      <c r="D190">
        <v>2023</v>
      </c>
      <c r="E190">
        <v>6</v>
      </c>
      <c r="F190">
        <v>18</v>
      </c>
      <c r="G190" s="20">
        <v>469.8</v>
      </c>
      <c r="H190" s="20">
        <f>Tabla1[[#This Row],[Cantidad Vendida]]*Tabla1[[#This Row],[Precio Unitario (USD)]]</f>
        <v>8456.4</v>
      </c>
      <c r="I190" s="21">
        <v>8.4499999999999993</v>
      </c>
      <c r="J190" s="5">
        <f t="shared" si="8"/>
        <v>71456.579999999987</v>
      </c>
      <c r="K190" t="str">
        <f>IF(Tabla1[[#This Row],[Venta Total (Q)]] = 0, "Sin ventas", "Con ventas")</f>
        <v>Con ventas</v>
      </c>
      <c r="L190" s="20">
        <f t="shared" si="6"/>
        <v>328.86</v>
      </c>
      <c r="M190" s="20">
        <f t="shared" si="7"/>
        <v>5919.4800000000005</v>
      </c>
      <c r="N190" s="20">
        <f>Tabla1[[#This Row],[Venta Total (USD)]] - Tabla1[[#This Row],[Costo Total (USD)]]</f>
        <v>2536.9199999999992</v>
      </c>
    </row>
    <row r="191" spans="1:14" x14ac:dyDescent="0.25">
      <c r="A191" t="s">
        <v>31</v>
      </c>
      <c r="B191" t="s">
        <v>21</v>
      </c>
      <c r="C191" t="s">
        <v>22</v>
      </c>
      <c r="D191">
        <v>2025</v>
      </c>
      <c r="E191">
        <v>2</v>
      </c>
      <c r="F191">
        <v>14</v>
      </c>
      <c r="G191" s="20">
        <v>36.26</v>
      </c>
      <c r="H191" s="20">
        <f>Tabla1[[#This Row],[Cantidad Vendida]]*Tabla1[[#This Row],[Precio Unitario (USD)]]</f>
        <v>507.64</v>
      </c>
      <c r="I191" s="21">
        <v>7.91</v>
      </c>
      <c r="J191" s="5">
        <f t="shared" si="8"/>
        <v>4015.4324000000001</v>
      </c>
      <c r="K191" t="str">
        <f>IF(Tabla1[[#This Row],[Venta Total (Q)]] = 0, "Sin ventas", "Con ventas")</f>
        <v>Con ventas</v>
      </c>
      <c r="L191" s="20">
        <f t="shared" si="6"/>
        <v>25.381999999999998</v>
      </c>
      <c r="M191" s="20">
        <f t="shared" si="7"/>
        <v>355.34799999999996</v>
      </c>
      <c r="N191" s="20">
        <f>Tabla1[[#This Row],[Venta Total (USD)]] - Tabla1[[#This Row],[Costo Total (USD)]]</f>
        <v>152.29200000000003</v>
      </c>
    </row>
    <row r="192" spans="1:14" x14ac:dyDescent="0.25">
      <c r="A192" t="s">
        <v>31</v>
      </c>
      <c r="B192" t="s">
        <v>17</v>
      </c>
      <c r="C192" t="s">
        <v>18</v>
      </c>
      <c r="D192">
        <v>2023</v>
      </c>
      <c r="E192">
        <v>9</v>
      </c>
      <c r="F192">
        <v>15</v>
      </c>
      <c r="G192" s="20">
        <v>378.84</v>
      </c>
      <c r="H192" s="20">
        <f>Tabla1[[#This Row],[Cantidad Vendida]]*Tabla1[[#This Row],[Precio Unitario (USD)]]</f>
        <v>5682.5999999999995</v>
      </c>
      <c r="I192" s="21">
        <v>8.0500000000000007</v>
      </c>
      <c r="J192" s="5">
        <f t="shared" si="8"/>
        <v>45744.93</v>
      </c>
      <c r="K192" t="str">
        <f>IF(Tabla1[[#This Row],[Venta Total (Q)]] = 0, "Sin ventas", "Con ventas")</f>
        <v>Con ventas</v>
      </c>
      <c r="L192" s="20">
        <f t="shared" si="6"/>
        <v>265.18799999999999</v>
      </c>
      <c r="M192" s="20">
        <f t="shared" si="7"/>
        <v>3977.8199999999997</v>
      </c>
      <c r="N192" s="20">
        <f>Tabla1[[#This Row],[Venta Total (USD)]] - Tabla1[[#This Row],[Costo Total (USD)]]</f>
        <v>1704.7799999999997</v>
      </c>
    </row>
    <row r="193" spans="1:14" x14ac:dyDescent="0.25">
      <c r="A193" t="s">
        <v>35</v>
      </c>
      <c r="B193" t="s">
        <v>13</v>
      </c>
      <c r="C193" t="s">
        <v>14</v>
      </c>
      <c r="D193">
        <v>2022</v>
      </c>
      <c r="E193">
        <v>11</v>
      </c>
      <c r="F193">
        <v>11</v>
      </c>
      <c r="G193" s="20">
        <v>196.75</v>
      </c>
      <c r="H193" s="20">
        <f>Tabla1[[#This Row],[Cantidad Vendida]]*Tabla1[[#This Row],[Precio Unitario (USD)]]</f>
        <v>2164.25</v>
      </c>
      <c r="I193" s="21">
        <v>7.94</v>
      </c>
      <c r="J193" s="5">
        <f t="shared" si="8"/>
        <v>17184.145</v>
      </c>
      <c r="K193" t="str">
        <f>IF(Tabla1[[#This Row],[Venta Total (Q)]] = 0, "Sin ventas", "Con ventas")</f>
        <v>Con ventas</v>
      </c>
      <c r="L193" s="20">
        <f t="shared" si="6"/>
        <v>137.72499999999999</v>
      </c>
      <c r="M193" s="20">
        <f t="shared" si="7"/>
        <v>1514.9749999999999</v>
      </c>
      <c r="N193" s="20">
        <f>Tabla1[[#This Row],[Venta Total (USD)]] - Tabla1[[#This Row],[Costo Total (USD)]]</f>
        <v>649.27500000000009</v>
      </c>
    </row>
    <row r="194" spans="1:14" x14ac:dyDescent="0.25">
      <c r="A194" t="s">
        <v>16</v>
      </c>
      <c r="B194" t="s">
        <v>17</v>
      </c>
      <c r="C194" t="s">
        <v>18</v>
      </c>
      <c r="D194">
        <v>2024</v>
      </c>
      <c r="E194">
        <v>3</v>
      </c>
      <c r="F194">
        <v>7</v>
      </c>
      <c r="G194" s="20">
        <v>433.95</v>
      </c>
      <c r="H194" s="20">
        <f>Tabla1[[#This Row],[Cantidad Vendida]]*Tabla1[[#This Row],[Precio Unitario (USD)]]</f>
        <v>3037.65</v>
      </c>
      <c r="I194" s="21">
        <v>8.41</v>
      </c>
      <c r="J194" s="5">
        <f t="shared" si="8"/>
        <v>25546.636500000001</v>
      </c>
      <c r="K194" t="str">
        <f>IF(Tabla1[[#This Row],[Venta Total (Q)]] = 0, "Sin ventas", "Con ventas")</f>
        <v>Con ventas</v>
      </c>
      <c r="L194" s="20">
        <f t="shared" ref="L194:L257" si="9">IF(G194&gt;0, G194*0.7, "")</f>
        <v>303.76499999999999</v>
      </c>
      <c r="M194" s="20">
        <f t="shared" ref="M194:M257" si="10">F194 * L194</f>
        <v>2126.355</v>
      </c>
      <c r="N194" s="20">
        <f>Tabla1[[#This Row],[Venta Total (USD)]] - Tabla1[[#This Row],[Costo Total (USD)]]</f>
        <v>911.29500000000007</v>
      </c>
    </row>
    <row r="195" spans="1:14" x14ac:dyDescent="0.25">
      <c r="A195" t="s">
        <v>20</v>
      </c>
      <c r="B195" t="s">
        <v>17</v>
      </c>
      <c r="C195" t="s">
        <v>19</v>
      </c>
      <c r="D195">
        <v>2025</v>
      </c>
      <c r="E195">
        <v>12</v>
      </c>
      <c r="F195">
        <v>15</v>
      </c>
      <c r="G195" s="20">
        <v>334.34</v>
      </c>
      <c r="H195" s="20">
        <f>Tabla1[[#This Row],[Cantidad Vendida]]*Tabla1[[#This Row],[Precio Unitario (USD)]]</f>
        <v>5015.0999999999995</v>
      </c>
      <c r="I195" s="21">
        <v>8.1999999999999993</v>
      </c>
      <c r="J195" s="5">
        <f t="shared" ref="J195:J258" si="11">H195 * I195</f>
        <v>41123.819999999992</v>
      </c>
      <c r="K195" t="str">
        <f>IF(Tabla1[[#This Row],[Venta Total (Q)]] = 0, "Sin ventas", "Con ventas")</f>
        <v>Con ventas</v>
      </c>
      <c r="L195" s="20">
        <f t="shared" si="9"/>
        <v>234.03799999999995</v>
      </c>
      <c r="M195" s="20">
        <f t="shared" si="10"/>
        <v>3510.5699999999993</v>
      </c>
      <c r="N195" s="20">
        <f>Tabla1[[#This Row],[Venta Total (USD)]] - Tabla1[[#This Row],[Costo Total (USD)]]</f>
        <v>1504.5300000000002</v>
      </c>
    </row>
    <row r="196" spans="1:14" x14ac:dyDescent="0.25">
      <c r="A196" t="s">
        <v>31</v>
      </c>
      <c r="B196" t="s">
        <v>13</v>
      </c>
      <c r="C196" t="s">
        <v>36</v>
      </c>
      <c r="D196">
        <v>2022</v>
      </c>
      <c r="E196">
        <v>1</v>
      </c>
      <c r="F196">
        <v>9</v>
      </c>
      <c r="G196" s="20">
        <v>248.84</v>
      </c>
      <c r="H196" s="20">
        <f>Tabla1[[#This Row],[Cantidad Vendida]]*Tabla1[[#This Row],[Precio Unitario (USD)]]</f>
        <v>2239.56</v>
      </c>
      <c r="I196" s="21">
        <v>7.54</v>
      </c>
      <c r="J196" s="5">
        <f t="shared" si="11"/>
        <v>16886.2824</v>
      </c>
      <c r="K196" t="str">
        <f>IF(Tabla1[[#This Row],[Venta Total (Q)]] = 0, "Sin ventas", "Con ventas")</f>
        <v>Con ventas</v>
      </c>
      <c r="L196" s="20">
        <f t="shared" si="9"/>
        <v>174.18799999999999</v>
      </c>
      <c r="M196" s="20">
        <f t="shared" si="10"/>
        <v>1567.692</v>
      </c>
      <c r="N196" s="20">
        <f>Tabla1[[#This Row],[Venta Total (USD)]] - Tabla1[[#This Row],[Costo Total (USD)]]</f>
        <v>671.86799999999994</v>
      </c>
    </row>
    <row r="197" spans="1:14" x14ac:dyDescent="0.25">
      <c r="A197" t="s">
        <v>20</v>
      </c>
      <c r="B197" t="s">
        <v>13</v>
      </c>
      <c r="C197" t="s">
        <v>14</v>
      </c>
      <c r="D197">
        <v>2025</v>
      </c>
      <c r="E197">
        <v>1</v>
      </c>
      <c r="F197">
        <v>1</v>
      </c>
      <c r="G197" s="20">
        <v>234.11</v>
      </c>
      <c r="H197" s="20">
        <f>Tabla1[[#This Row],[Cantidad Vendida]]*Tabla1[[#This Row],[Precio Unitario (USD)]]</f>
        <v>234.11</v>
      </c>
      <c r="I197" s="21">
        <v>8.36</v>
      </c>
      <c r="J197" s="5">
        <f t="shared" si="11"/>
        <v>1957.1596</v>
      </c>
      <c r="K197" t="str">
        <f>IF(Tabla1[[#This Row],[Venta Total (Q)]] = 0, "Sin ventas", "Con ventas")</f>
        <v>Con ventas</v>
      </c>
      <c r="L197" s="20">
        <f t="shared" si="9"/>
        <v>163.87700000000001</v>
      </c>
      <c r="M197" s="20">
        <f t="shared" si="10"/>
        <v>163.87700000000001</v>
      </c>
      <c r="N197" s="20">
        <f>Tabla1[[#This Row],[Venta Total (USD)]] - Tabla1[[#This Row],[Costo Total (USD)]]</f>
        <v>70.233000000000004</v>
      </c>
    </row>
    <row r="198" spans="1:14" x14ac:dyDescent="0.25">
      <c r="A198" t="s">
        <v>35</v>
      </c>
      <c r="B198" t="s">
        <v>13</v>
      </c>
      <c r="C198" t="s">
        <v>36</v>
      </c>
      <c r="D198">
        <v>2024</v>
      </c>
      <c r="E198">
        <v>8</v>
      </c>
      <c r="F198">
        <v>10</v>
      </c>
      <c r="G198" s="20">
        <v>77.680000000000007</v>
      </c>
      <c r="H198" s="20">
        <f>Tabla1[[#This Row],[Cantidad Vendida]]*Tabla1[[#This Row],[Precio Unitario (USD)]]</f>
        <v>776.80000000000007</v>
      </c>
      <c r="I198" s="21">
        <v>7.98</v>
      </c>
      <c r="J198" s="5">
        <f t="shared" si="11"/>
        <v>6198.8640000000005</v>
      </c>
      <c r="K198" t="str">
        <f>IF(Tabla1[[#This Row],[Venta Total (Q)]] = 0, "Sin ventas", "Con ventas")</f>
        <v>Con ventas</v>
      </c>
      <c r="L198" s="20">
        <f t="shared" si="9"/>
        <v>54.376000000000005</v>
      </c>
      <c r="M198" s="20">
        <f t="shared" si="10"/>
        <v>543.76</v>
      </c>
      <c r="N198" s="20">
        <f>Tabla1[[#This Row],[Venta Total (USD)]] - Tabla1[[#This Row],[Costo Total (USD)]]</f>
        <v>233.04000000000008</v>
      </c>
    </row>
    <row r="199" spans="1:14" x14ac:dyDescent="0.25">
      <c r="A199" t="s">
        <v>31</v>
      </c>
      <c r="B199" t="s">
        <v>11</v>
      </c>
      <c r="C199" t="s">
        <v>37</v>
      </c>
      <c r="D199">
        <v>2022</v>
      </c>
      <c r="E199">
        <v>2</v>
      </c>
      <c r="F199">
        <v>17</v>
      </c>
      <c r="G199" s="20">
        <v>302.3</v>
      </c>
      <c r="H199" s="20">
        <f>Tabla1[[#This Row],[Cantidad Vendida]]*Tabla1[[#This Row],[Precio Unitario (USD)]]</f>
        <v>5139.1000000000004</v>
      </c>
      <c r="I199" s="21">
        <v>8.49</v>
      </c>
      <c r="J199" s="5">
        <f t="shared" si="11"/>
        <v>43630.959000000003</v>
      </c>
      <c r="K199" t="str">
        <f>IF(Tabla1[[#This Row],[Venta Total (Q)]] = 0, "Sin ventas", "Con ventas")</f>
        <v>Con ventas</v>
      </c>
      <c r="L199" s="20">
        <f t="shared" si="9"/>
        <v>211.60999999999999</v>
      </c>
      <c r="M199" s="20">
        <f t="shared" si="10"/>
        <v>3597.37</v>
      </c>
      <c r="N199" s="20">
        <f>Tabla1[[#This Row],[Venta Total (USD)]] - Tabla1[[#This Row],[Costo Total (USD)]]</f>
        <v>1541.7300000000005</v>
      </c>
    </row>
    <row r="200" spans="1:14" x14ac:dyDescent="0.25">
      <c r="A200" t="s">
        <v>15</v>
      </c>
      <c r="B200" t="s">
        <v>21</v>
      </c>
      <c r="C200" t="s">
        <v>22</v>
      </c>
      <c r="D200">
        <v>2025</v>
      </c>
      <c r="E200">
        <v>5</v>
      </c>
      <c r="F200">
        <v>9</v>
      </c>
      <c r="G200" s="20">
        <v>156.22</v>
      </c>
      <c r="H200" s="20">
        <f>Tabla1[[#This Row],[Cantidad Vendida]]*Tabla1[[#This Row],[Precio Unitario (USD)]]</f>
        <v>1405.98</v>
      </c>
      <c r="I200" s="21">
        <v>8.34</v>
      </c>
      <c r="J200" s="5">
        <f t="shared" si="11"/>
        <v>11725.8732</v>
      </c>
      <c r="K200" t="str">
        <f>IF(Tabla1[[#This Row],[Venta Total (Q)]] = 0, "Sin ventas", "Con ventas")</f>
        <v>Con ventas</v>
      </c>
      <c r="L200" s="20">
        <f t="shared" si="9"/>
        <v>109.354</v>
      </c>
      <c r="M200" s="20">
        <f t="shared" si="10"/>
        <v>984.18600000000004</v>
      </c>
      <c r="N200" s="20">
        <f>Tabla1[[#This Row],[Venta Total (USD)]] - Tabla1[[#This Row],[Costo Total (USD)]]</f>
        <v>421.79399999999998</v>
      </c>
    </row>
    <row r="201" spans="1:14" x14ac:dyDescent="0.25">
      <c r="A201" t="s">
        <v>31</v>
      </c>
      <c r="B201" t="s">
        <v>17</v>
      </c>
      <c r="C201" t="s">
        <v>19</v>
      </c>
      <c r="D201">
        <v>2023</v>
      </c>
      <c r="E201">
        <v>10</v>
      </c>
      <c r="F201">
        <v>11</v>
      </c>
      <c r="G201" s="20">
        <v>177.53</v>
      </c>
      <c r="H201" s="20">
        <f>Tabla1[[#This Row],[Cantidad Vendida]]*Tabla1[[#This Row],[Precio Unitario (USD)]]</f>
        <v>1952.83</v>
      </c>
      <c r="I201" s="21">
        <v>8.32</v>
      </c>
      <c r="J201" s="5">
        <f t="shared" si="11"/>
        <v>16247.545599999999</v>
      </c>
      <c r="K201" t="str">
        <f>IF(Tabla1[[#This Row],[Venta Total (Q)]] = 0, "Sin ventas", "Con ventas")</f>
        <v>Con ventas</v>
      </c>
      <c r="L201" s="20">
        <f t="shared" si="9"/>
        <v>124.27099999999999</v>
      </c>
      <c r="M201" s="20">
        <f t="shared" si="10"/>
        <v>1366.9809999999998</v>
      </c>
      <c r="N201" s="20">
        <f>Tabla1[[#This Row],[Venta Total (USD)]] - Tabla1[[#This Row],[Costo Total (USD)]]</f>
        <v>585.84900000000016</v>
      </c>
    </row>
    <row r="202" spans="1:14" x14ac:dyDescent="0.25">
      <c r="A202" t="s">
        <v>20</v>
      </c>
      <c r="B202" t="s">
        <v>11</v>
      </c>
      <c r="C202" t="s">
        <v>25</v>
      </c>
      <c r="D202">
        <v>2023</v>
      </c>
      <c r="E202">
        <v>11</v>
      </c>
      <c r="F202">
        <v>15</v>
      </c>
      <c r="G202" s="20">
        <v>402.06</v>
      </c>
      <c r="H202" s="20">
        <f>Tabla1[[#This Row],[Cantidad Vendida]]*Tabla1[[#This Row],[Precio Unitario (USD)]]</f>
        <v>6030.9</v>
      </c>
      <c r="I202" s="21">
        <v>8.26</v>
      </c>
      <c r="J202" s="5">
        <f t="shared" si="11"/>
        <v>49815.233999999997</v>
      </c>
      <c r="K202" t="str">
        <f>IF(Tabla1[[#This Row],[Venta Total (Q)]] = 0, "Sin ventas", "Con ventas")</f>
        <v>Con ventas</v>
      </c>
      <c r="L202" s="20">
        <f t="shared" si="9"/>
        <v>281.44200000000001</v>
      </c>
      <c r="M202" s="20">
        <f t="shared" si="10"/>
        <v>4221.63</v>
      </c>
      <c r="N202" s="20">
        <f>Tabla1[[#This Row],[Venta Total (USD)]] - Tabla1[[#This Row],[Costo Total (USD)]]</f>
        <v>1809.2699999999995</v>
      </c>
    </row>
    <row r="203" spans="1:14" x14ac:dyDescent="0.25">
      <c r="A203" t="s">
        <v>20</v>
      </c>
      <c r="B203" t="s">
        <v>28</v>
      </c>
      <c r="C203" t="s">
        <v>29</v>
      </c>
      <c r="D203">
        <v>2022</v>
      </c>
      <c r="E203">
        <v>5</v>
      </c>
      <c r="F203">
        <v>8</v>
      </c>
      <c r="G203" s="20">
        <v>94.43</v>
      </c>
      <c r="H203" s="20">
        <f>Tabla1[[#This Row],[Cantidad Vendida]]*Tabla1[[#This Row],[Precio Unitario (USD)]]</f>
        <v>755.44</v>
      </c>
      <c r="I203" s="21">
        <v>7.93</v>
      </c>
      <c r="J203" s="5">
        <f t="shared" si="11"/>
        <v>5990.6392000000005</v>
      </c>
      <c r="K203" t="str">
        <f>IF(Tabla1[[#This Row],[Venta Total (Q)]] = 0, "Sin ventas", "Con ventas")</f>
        <v>Con ventas</v>
      </c>
      <c r="L203" s="20">
        <f t="shared" si="9"/>
        <v>66.100999999999999</v>
      </c>
      <c r="M203" s="20">
        <f t="shared" si="10"/>
        <v>528.80799999999999</v>
      </c>
      <c r="N203" s="20">
        <f>Tabla1[[#This Row],[Venta Total (USD)]] - Tabla1[[#This Row],[Costo Total (USD)]]</f>
        <v>226.63200000000006</v>
      </c>
    </row>
    <row r="204" spans="1:14" x14ac:dyDescent="0.25">
      <c r="A204" t="s">
        <v>10</v>
      </c>
      <c r="B204" t="s">
        <v>13</v>
      </c>
      <c r="C204" t="s">
        <v>36</v>
      </c>
      <c r="D204">
        <v>2022</v>
      </c>
      <c r="E204">
        <v>12</v>
      </c>
      <c r="F204">
        <v>9</v>
      </c>
      <c r="G204" s="20">
        <v>172.98</v>
      </c>
      <c r="H204" s="20">
        <f>Tabla1[[#This Row],[Cantidad Vendida]]*Tabla1[[#This Row],[Precio Unitario (USD)]]</f>
        <v>1556.82</v>
      </c>
      <c r="I204" s="21">
        <v>7.95</v>
      </c>
      <c r="J204" s="5">
        <f t="shared" si="11"/>
        <v>12376.718999999999</v>
      </c>
      <c r="K204" t="str">
        <f>IF(Tabla1[[#This Row],[Venta Total (Q)]] = 0, "Sin ventas", "Con ventas")</f>
        <v>Con ventas</v>
      </c>
      <c r="L204" s="20">
        <f t="shared" si="9"/>
        <v>121.08599999999998</v>
      </c>
      <c r="M204" s="20">
        <f t="shared" si="10"/>
        <v>1089.7739999999999</v>
      </c>
      <c r="N204" s="20">
        <f>Tabla1[[#This Row],[Venta Total (USD)]] - Tabla1[[#This Row],[Costo Total (USD)]]</f>
        <v>467.04600000000005</v>
      </c>
    </row>
    <row r="205" spans="1:14" x14ac:dyDescent="0.25">
      <c r="A205" t="s">
        <v>10</v>
      </c>
      <c r="B205" t="s">
        <v>21</v>
      </c>
      <c r="C205" t="s">
        <v>32</v>
      </c>
      <c r="D205">
        <v>2023</v>
      </c>
      <c r="E205">
        <v>12</v>
      </c>
      <c r="F205">
        <v>15</v>
      </c>
      <c r="G205" s="20">
        <v>238.9</v>
      </c>
      <c r="H205" s="20">
        <f>Tabla1[[#This Row],[Cantidad Vendida]]*Tabla1[[#This Row],[Precio Unitario (USD)]]</f>
        <v>3583.5</v>
      </c>
      <c r="I205" s="21">
        <v>8.25</v>
      </c>
      <c r="J205" s="5">
        <f t="shared" si="11"/>
        <v>29563.875</v>
      </c>
      <c r="K205" t="str">
        <f>IF(Tabla1[[#This Row],[Venta Total (Q)]] = 0, "Sin ventas", "Con ventas")</f>
        <v>Con ventas</v>
      </c>
      <c r="L205" s="20">
        <f t="shared" si="9"/>
        <v>167.23</v>
      </c>
      <c r="M205" s="20">
        <f t="shared" si="10"/>
        <v>2508.4499999999998</v>
      </c>
      <c r="N205" s="20">
        <f>Tabla1[[#This Row],[Venta Total (USD)]] - Tabla1[[#This Row],[Costo Total (USD)]]</f>
        <v>1075.0500000000002</v>
      </c>
    </row>
    <row r="206" spans="1:14" x14ac:dyDescent="0.25">
      <c r="A206" t="s">
        <v>10</v>
      </c>
      <c r="B206" t="s">
        <v>11</v>
      </c>
      <c r="C206" t="s">
        <v>37</v>
      </c>
      <c r="D206">
        <v>2024</v>
      </c>
      <c r="E206">
        <v>8</v>
      </c>
      <c r="F206">
        <v>7</v>
      </c>
      <c r="G206" s="20">
        <v>142.08000000000001</v>
      </c>
      <c r="H206" s="20">
        <f>Tabla1[[#This Row],[Cantidad Vendida]]*Tabla1[[#This Row],[Precio Unitario (USD)]]</f>
        <v>994.56000000000006</v>
      </c>
      <c r="I206" s="21">
        <v>8.35</v>
      </c>
      <c r="J206" s="5">
        <f t="shared" si="11"/>
        <v>8304.5760000000009</v>
      </c>
      <c r="K206" t="str">
        <f>IF(Tabla1[[#This Row],[Venta Total (Q)]] = 0, "Sin ventas", "Con ventas")</f>
        <v>Con ventas</v>
      </c>
      <c r="L206" s="20">
        <f t="shared" si="9"/>
        <v>99.456000000000003</v>
      </c>
      <c r="M206" s="20">
        <f t="shared" si="10"/>
        <v>696.19200000000001</v>
      </c>
      <c r="N206" s="20">
        <f>Tabla1[[#This Row],[Venta Total (USD)]] - Tabla1[[#This Row],[Costo Total (USD)]]</f>
        <v>298.36800000000005</v>
      </c>
    </row>
    <row r="207" spans="1:14" x14ac:dyDescent="0.25">
      <c r="A207" t="s">
        <v>16</v>
      </c>
      <c r="B207" t="s">
        <v>11</v>
      </c>
      <c r="C207" t="s">
        <v>12</v>
      </c>
      <c r="D207">
        <v>2025</v>
      </c>
      <c r="E207">
        <v>9</v>
      </c>
      <c r="F207">
        <v>9</v>
      </c>
      <c r="G207" s="20">
        <v>48.06</v>
      </c>
      <c r="H207" s="20">
        <f>Tabla1[[#This Row],[Cantidad Vendida]]*Tabla1[[#This Row],[Precio Unitario (USD)]]</f>
        <v>432.54</v>
      </c>
      <c r="I207" s="21">
        <v>7.68</v>
      </c>
      <c r="J207" s="5">
        <f t="shared" si="11"/>
        <v>3321.9072000000001</v>
      </c>
      <c r="K207" t="str">
        <f>IF(Tabla1[[#This Row],[Venta Total (Q)]] = 0, "Sin ventas", "Con ventas")</f>
        <v>Con ventas</v>
      </c>
      <c r="L207" s="20">
        <f t="shared" si="9"/>
        <v>33.641999999999996</v>
      </c>
      <c r="M207" s="20">
        <f t="shared" si="10"/>
        <v>302.77799999999996</v>
      </c>
      <c r="N207" s="20">
        <f>Tabla1[[#This Row],[Venta Total (USD)]] - Tabla1[[#This Row],[Costo Total (USD)]]</f>
        <v>129.76200000000006</v>
      </c>
    </row>
    <row r="208" spans="1:14" x14ac:dyDescent="0.25">
      <c r="A208" t="s">
        <v>10</v>
      </c>
      <c r="B208" t="s">
        <v>11</v>
      </c>
      <c r="C208" t="s">
        <v>12</v>
      </c>
      <c r="D208">
        <v>2023</v>
      </c>
      <c r="E208">
        <v>7</v>
      </c>
      <c r="F208">
        <v>19</v>
      </c>
      <c r="G208" s="20">
        <v>201.39</v>
      </c>
      <c r="H208" s="20">
        <f>Tabla1[[#This Row],[Cantidad Vendida]]*Tabla1[[#This Row],[Precio Unitario (USD)]]</f>
        <v>3826.41</v>
      </c>
      <c r="I208" s="21">
        <v>8.01</v>
      </c>
      <c r="J208" s="5">
        <f t="shared" si="11"/>
        <v>30649.544099999999</v>
      </c>
      <c r="K208" t="str">
        <f>IF(Tabla1[[#This Row],[Venta Total (Q)]] = 0, "Sin ventas", "Con ventas")</f>
        <v>Con ventas</v>
      </c>
      <c r="L208" s="20">
        <f t="shared" si="9"/>
        <v>140.97299999999998</v>
      </c>
      <c r="M208" s="20">
        <f t="shared" si="10"/>
        <v>2678.4869999999996</v>
      </c>
      <c r="N208" s="20">
        <f>Tabla1[[#This Row],[Venta Total (USD)]] - Tabla1[[#This Row],[Costo Total (USD)]]</f>
        <v>1147.9230000000002</v>
      </c>
    </row>
    <row r="209" spans="1:14" x14ac:dyDescent="0.25">
      <c r="A209" t="s">
        <v>31</v>
      </c>
      <c r="B209" t="s">
        <v>28</v>
      </c>
      <c r="C209" t="s">
        <v>29</v>
      </c>
      <c r="D209">
        <v>2025</v>
      </c>
      <c r="E209">
        <v>5</v>
      </c>
      <c r="F209">
        <v>8</v>
      </c>
      <c r="G209" s="20">
        <v>99.94</v>
      </c>
      <c r="H209" s="20">
        <f>Tabla1[[#This Row],[Cantidad Vendida]]*Tabla1[[#This Row],[Precio Unitario (USD)]]</f>
        <v>799.52</v>
      </c>
      <c r="I209" s="21">
        <v>8.0500000000000007</v>
      </c>
      <c r="J209" s="5">
        <f t="shared" si="11"/>
        <v>6436.1360000000004</v>
      </c>
      <c r="K209" t="str">
        <f>IF(Tabla1[[#This Row],[Venta Total (Q)]] = 0, "Sin ventas", "Con ventas")</f>
        <v>Con ventas</v>
      </c>
      <c r="L209" s="20">
        <f t="shared" si="9"/>
        <v>69.957999999999998</v>
      </c>
      <c r="M209" s="20">
        <f t="shared" si="10"/>
        <v>559.66399999999999</v>
      </c>
      <c r="N209" s="20">
        <f>Tabla1[[#This Row],[Venta Total (USD)]] - Tabla1[[#This Row],[Costo Total (USD)]]</f>
        <v>239.85599999999999</v>
      </c>
    </row>
    <row r="210" spans="1:14" x14ac:dyDescent="0.25">
      <c r="A210" t="s">
        <v>10</v>
      </c>
      <c r="B210" t="s">
        <v>28</v>
      </c>
      <c r="C210" t="s">
        <v>38</v>
      </c>
      <c r="D210">
        <v>2023</v>
      </c>
      <c r="E210">
        <v>3</v>
      </c>
      <c r="F210">
        <v>8</v>
      </c>
      <c r="G210" s="20">
        <v>430.97</v>
      </c>
      <c r="H210" s="20">
        <f>Tabla1[[#This Row],[Cantidad Vendida]]*Tabla1[[#This Row],[Precio Unitario (USD)]]</f>
        <v>3447.76</v>
      </c>
      <c r="I210" s="21">
        <v>7.71</v>
      </c>
      <c r="J210" s="5">
        <f t="shared" si="11"/>
        <v>26582.229600000002</v>
      </c>
      <c r="K210" t="str">
        <f>IF(Tabla1[[#This Row],[Venta Total (Q)]] = 0, "Sin ventas", "Con ventas")</f>
        <v>Con ventas</v>
      </c>
      <c r="L210" s="20">
        <f t="shared" si="9"/>
        <v>301.67899999999997</v>
      </c>
      <c r="M210" s="20">
        <f t="shared" si="10"/>
        <v>2413.4319999999998</v>
      </c>
      <c r="N210" s="20">
        <f>Tabla1[[#This Row],[Venta Total (USD)]] - Tabla1[[#This Row],[Costo Total (USD)]]</f>
        <v>1034.3280000000004</v>
      </c>
    </row>
    <row r="211" spans="1:14" x14ac:dyDescent="0.25">
      <c r="A211" t="s">
        <v>10</v>
      </c>
      <c r="B211" t="s">
        <v>28</v>
      </c>
      <c r="C211" t="s">
        <v>38</v>
      </c>
      <c r="D211">
        <v>2022</v>
      </c>
      <c r="E211">
        <v>9</v>
      </c>
      <c r="F211">
        <v>2</v>
      </c>
      <c r="G211" s="20">
        <v>382.43</v>
      </c>
      <c r="H211" s="20">
        <f>Tabla1[[#This Row],[Cantidad Vendida]]*Tabla1[[#This Row],[Precio Unitario (USD)]]</f>
        <v>764.86</v>
      </c>
      <c r="I211" s="21">
        <v>8</v>
      </c>
      <c r="J211" s="5">
        <f t="shared" si="11"/>
        <v>6118.88</v>
      </c>
      <c r="K211" t="str">
        <f>IF(Tabla1[[#This Row],[Venta Total (Q)]] = 0, "Sin ventas", "Con ventas")</f>
        <v>Con ventas</v>
      </c>
      <c r="L211" s="20">
        <f t="shared" si="9"/>
        <v>267.70099999999996</v>
      </c>
      <c r="M211" s="20">
        <f t="shared" si="10"/>
        <v>535.40199999999993</v>
      </c>
      <c r="N211" s="20">
        <f>Tabla1[[#This Row],[Venta Total (USD)]] - Tabla1[[#This Row],[Costo Total (USD)]]</f>
        <v>229.45800000000008</v>
      </c>
    </row>
    <row r="212" spans="1:14" x14ac:dyDescent="0.25">
      <c r="A212" t="s">
        <v>16</v>
      </c>
      <c r="B212" t="s">
        <v>13</v>
      </c>
      <c r="C212" t="s">
        <v>27</v>
      </c>
      <c r="D212">
        <v>2024</v>
      </c>
      <c r="E212">
        <v>2</v>
      </c>
      <c r="F212">
        <v>1</v>
      </c>
      <c r="G212" s="20">
        <v>97.08</v>
      </c>
      <c r="H212" s="20">
        <f>Tabla1[[#This Row],[Cantidad Vendida]]*Tabla1[[#This Row],[Precio Unitario (USD)]]</f>
        <v>97.08</v>
      </c>
      <c r="I212" s="21">
        <v>7.62</v>
      </c>
      <c r="J212" s="5">
        <f t="shared" si="11"/>
        <v>739.74959999999999</v>
      </c>
      <c r="K212" t="str">
        <f>IF(Tabla1[[#This Row],[Venta Total (Q)]] = 0, "Sin ventas", "Con ventas")</f>
        <v>Con ventas</v>
      </c>
      <c r="L212" s="20">
        <f t="shared" si="9"/>
        <v>67.955999999999989</v>
      </c>
      <c r="M212" s="20">
        <f t="shared" si="10"/>
        <v>67.955999999999989</v>
      </c>
      <c r="N212" s="20">
        <f>Tabla1[[#This Row],[Venta Total (USD)]] - Tabla1[[#This Row],[Costo Total (USD)]]</f>
        <v>29.124000000000009</v>
      </c>
    </row>
    <row r="213" spans="1:14" x14ac:dyDescent="0.25">
      <c r="A213" t="s">
        <v>31</v>
      </c>
      <c r="B213" t="s">
        <v>17</v>
      </c>
      <c r="C213" t="s">
        <v>18</v>
      </c>
      <c r="D213">
        <v>2025</v>
      </c>
      <c r="E213">
        <v>9</v>
      </c>
      <c r="F213">
        <v>7</v>
      </c>
      <c r="G213" s="20">
        <v>446.37</v>
      </c>
      <c r="H213" s="20">
        <f>Tabla1[[#This Row],[Cantidad Vendida]]*Tabla1[[#This Row],[Precio Unitario (USD)]]</f>
        <v>3124.59</v>
      </c>
      <c r="I213" s="21">
        <v>7.83</v>
      </c>
      <c r="J213" s="5">
        <f t="shared" si="11"/>
        <v>24465.539700000001</v>
      </c>
      <c r="K213" t="str">
        <f>IF(Tabla1[[#This Row],[Venta Total (Q)]] = 0, "Sin ventas", "Con ventas")</f>
        <v>Con ventas</v>
      </c>
      <c r="L213" s="20">
        <f t="shared" si="9"/>
        <v>312.459</v>
      </c>
      <c r="M213" s="20">
        <f t="shared" si="10"/>
        <v>2187.2130000000002</v>
      </c>
      <c r="N213" s="20">
        <f>Tabla1[[#This Row],[Venta Total (USD)]] - Tabla1[[#This Row],[Costo Total (USD)]]</f>
        <v>937.37699999999995</v>
      </c>
    </row>
    <row r="214" spans="1:14" x14ac:dyDescent="0.25">
      <c r="A214" t="s">
        <v>35</v>
      </c>
      <c r="B214" t="s">
        <v>11</v>
      </c>
      <c r="C214" t="s">
        <v>25</v>
      </c>
      <c r="D214">
        <v>2025</v>
      </c>
      <c r="E214">
        <v>6</v>
      </c>
      <c r="F214">
        <v>2</v>
      </c>
      <c r="G214" s="20">
        <v>285.27</v>
      </c>
      <c r="H214" s="20">
        <f>Tabla1[[#This Row],[Cantidad Vendida]]*Tabla1[[#This Row],[Precio Unitario (USD)]]</f>
        <v>570.54</v>
      </c>
      <c r="I214" s="21">
        <v>8.15</v>
      </c>
      <c r="J214" s="5">
        <f t="shared" si="11"/>
        <v>4649.9009999999998</v>
      </c>
      <c r="K214" t="str">
        <f>IF(Tabla1[[#This Row],[Venta Total (Q)]] = 0, "Sin ventas", "Con ventas")</f>
        <v>Con ventas</v>
      </c>
      <c r="L214" s="20">
        <f t="shared" si="9"/>
        <v>199.68899999999996</v>
      </c>
      <c r="M214" s="20">
        <f t="shared" si="10"/>
        <v>399.37799999999993</v>
      </c>
      <c r="N214" s="20">
        <f>Tabla1[[#This Row],[Venta Total (USD)]] - Tabla1[[#This Row],[Costo Total (USD)]]</f>
        <v>171.16200000000003</v>
      </c>
    </row>
    <row r="215" spans="1:14" x14ac:dyDescent="0.25">
      <c r="A215" t="s">
        <v>31</v>
      </c>
      <c r="B215" t="s">
        <v>17</v>
      </c>
      <c r="C215" t="s">
        <v>18</v>
      </c>
      <c r="D215">
        <v>2023</v>
      </c>
      <c r="E215">
        <v>4</v>
      </c>
      <c r="F215">
        <v>5</v>
      </c>
      <c r="G215" s="20">
        <v>194.51</v>
      </c>
      <c r="H215" s="20">
        <f>Tabla1[[#This Row],[Cantidad Vendida]]*Tabla1[[#This Row],[Precio Unitario (USD)]]</f>
        <v>972.55</v>
      </c>
      <c r="I215" s="21">
        <v>8.48</v>
      </c>
      <c r="J215" s="5">
        <f t="shared" si="11"/>
        <v>8247.2240000000002</v>
      </c>
      <c r="K215" t="str">
        <f>IF(Tabla1[[#This Row],[Venta Total (Q)]] = 0, "Sin ventas", "Con ventas")</f>
        <v>Con ventas</v>
      </c>
      <c r="L215" s="20">
        <f t="shared" si="9"/>
        <v>136.15699999999998</v>
      </c>
      <c r="M215" s="20">
        <f t="shared" si="10"/>
        <v>680.78499999999985</v>
      </c>
      <c r="N215" s="20">
        <f>Tabla1[[#This Row],[Venta Total (USD)]] - Tabla1[[#This Row],[Costo Total (USD)]]</f>
        <v>291.7650000000001</v>
      </c>
    </row>
    <row r="216" spans="1:14" x14ac:dyDescent="0.25">
      <c r="A216" t="s">
        <v>31</v>
      </c>
      <c r="B216" t="s">
        <v>17</v>
      </c>
      <c r="C216" t="s">
        <v>18</v>
      </c>
      <c r="D216">
        <v>2024</v>
      </c>
      <c r="E216">
        <v>10</v>
      </c>
      <c r="F216">
        <v>7</v>
      </c>
      <c r="G216" s="20">
        <v>480.89</v>
      </c>
      <c r="H216" s="20">
        <f>Tabla1[[#This Row],[Cantidad Vendida]]*Tabla1[[#This Row],[Precio Unitario (USD)]]</f>
        <v>3366.23</v>
      </c>
      <c r="I216" s="21">
        <v>8.1</v>
      </c>
      <c r="J216" s="5">
        <f t="shared" si="11"/>
        <v>27266.463</v>
      </c>
      <c r="K216" t="str">
        <f>IF(Tabla1[[#This Row],[Venta Total (Q)]] = 0, "Sin ventas", "Con ventas")</f>
        <v>Con ventas</v>
      </c>
      <c r="L216" s="20">
        <f t="shared" si="9"/>
        <v>336.62299999999999</v>
      </c>
      <c r="M216" s="20">
        <f t="shared" si="10"/>
        <v>2356.3609999999999</v>
      </c>
      <c r="N216" s="20">
        <f>Tabla1[[#This Row],[Venta Total (USD)]] - Tabla1[[#This Row],[Costo Total (USD)]]</f>
        <v>1009.8690000000001</v>
      </c>
    </row>
    <row r="217" spans="1:14" x14ac:dyDescent="0.25">
      <c r="A217" t="s">
        <v>15</v>
      </c>
      <c r="B217" t="s">
        <v>17</v>
      </c>
      <c r="C217" t="s">
        <v>33</v>
      </c>
      <c r="D217">
        <v>2023</v>
      </c>
      <c r="E217">
        <v>4</v>
      </c>
      <c r="F217">
        <v>1</v>
      </c>
      <c r="G217" s="20">
        <v>129.88</v>
      </c>
      <c r="H217" s="20">
        <f>Tabla1[[#This Row],[Cantidad Vendida]]*Tabla1[[#This Row],[Precio Unitario (USD)]]</f>
        <v>129.88</v>
      </c>
      <c r="I217" s="21">
        <v>8.24</v>
      </c>
      <c r="J217" s="5">
        <f t="shared" si="11"/>
        <v>1070.2112</v>
      </c>
      <c r="K217" t="str">
        <f>IF(Tabla1[[#This Row],[Venta Total (Q)]] = 0, "Sin ventas", "Con ventas")</f>
        <v>Con ventas</v>
      </c>
      <c r="L217" s="20">
        <f t="shared" si="9"/>
        <v>90.915999999999997</v>
      </c>
      <c r="M217" s="20">
        <f t="shared" si="10"/>
        <v>90.915999999999997</v>
      </c>
      <c r="N217" s="20">
        <f>Tabla1[[#This Row],[Venta Total (USD)]] - Tabla1[[#This Row],[Costo Total (USD)]]</f>
        <v>38.963999999999999</v>
      </c>
    </row>
    <row r="218" spans="1:14" x14ac:dyDescent="0.25">
      <c r="A218" t="s">
        <v>31</v>
      </c>
      <c r="B218" t="s">
        <v>17</v>
      </c>
      <c r="C218" t="s">
        <v>18</v>
      </c>
      <c r="D218">
        <v>2022</v>
      </c>
      <c r="E218">
        <v>10</v>
      </c>
      <c r="F218">
        <v>12</v>
      </c>
      <c r="G218" s="20">
        <v>474.44</v>
      </c>
      <c r="H218" s="20">
        <f>Tabla1[[#This Row],[Cantidad Vendida]]*Tabla1[[#This Row],[Precio Unitario (USD)]]</f>
        <v>5693.28</v>
      </c>
      <c r="I218" s="21">
        <v>7.66</v>
      </c>
      <c r="J218" s="5">
        <f t="shared" si="11"/>
        <v>43610.524799999999</v>
      </c>
      <c r="K218" t="str">
        <f>IF(Tabla1[[#This Row],[Venta Total (Q)]] = 0, "Sin ventas", "Con ventas")</f>
        <v>Con ventas</v>
      </c>
      <c r="L218" s="20">
        <f t="shared" si="9"/>
        <v>332.108</v>
      </c>
      <c r="M218" s="20">
        <f t="shared" si="10"/>
        <v>3985.2960000000003</v>
      </c>
      <c r="N218" s="20">
        <f>Tabla1[[#This Row],[Venta Total (USD)]] - Tabla1[[#This Row],[Costo Total (USD)]]</f>
        <v>1707.9839999999995</v>
      </c>
    </row>
    <row r="219" spans="1:14" x14ac:dyDescent="0.25">
      <c r="A219" t="s">
        <v>15</v>
      </c>
      <c r="B219" t="s">
        <v>17</v>
      </c>
      <c r="C219" t="s">
        <v>18</v>
      </c>
      <c r="D219">
        <v>2022</v>
      </c>
      <c r="E219">
        <v>6</v>
      </c>
      <c r="F219">
        <v>10</v>
      </c>
      <c r="G219" s="20">
        <v>78.430000000000007</v>
      </c>
      <c r="H219" s="20">
        <f>Tabla1[[#This Row],[Cantidad Vendida]]*Tabla1[[#This Row],[Precio Unitario (USD)]]</f>
        <v>784.30000000000007</v>
      </c>
      <c r="I219" s="21">
        <v>7.71</v>
      </c>
      <c r="J219" s="5">
        <f t="shared" si="11"/>
        <v>6046.9530000000004</v>
      </c>
      <c r="K219" t="str">
        <f>IF(Tabla1[[#This Row],[Venta Total (Q)]] = 0, "Sin ventas", "Con ventas")</f>
        <v>Con ventas</v>
      </c>
      <c r="L219" s="20">
        <f t="shared" si="9"/>
        <v>54.901000000000003</v>
      </c>
      <c r="M219" s="20">
        <f t="shared" si="10"/>
        <v>549.01</v>
      </c>
      <c r="N219" s="20">
        <f>Tabla1[[#This Row],[Venta Total (USD)]] - Tabla1[[#This Row],[Costo Total (USD)]]</f>
        <v>235.29000000000008</v>
      </c>
    </row>
    <row r="220" spans="1:14" x14ac:dyDescent="0.25">
      <c r="A220" t="s">
        <v>20</v>
      </c>
      <c r="B220" t="s">
        <v>13</v>
      </c>
      <c r="C220" t="s">
        <v>27</v>
      </c>
      <c r="D220">
        <v>2024</v>
      </c>
      <c r="E220">
        <v>9</v>
      </c>
      <c r="F220">
        <v>20</v>
      </c>
      <c r="G220" s="20">
        <v>329.03</v>
      </c>
      <c r="H220" s="20">
        <f>Tabla1[[#This Row],[Cantidad Vendida]]*Tabla1[[#This Row],[Precio Unitario (USD)]]</f>
        <v>6580.5999999999995</v>
      </c>
      <c r="I220" s="21">
        <v>8.32</v>
      </c>
      <c r="J220" s="5">
        <f t="shared" si="11"/>
        <v>54750.591999999997</v>
      </c>
      <c r="K220" t="str">
        <f>IF(Tabla1[[#This Row],[Venta Total (Q)]] = 0, "Sin ventas", "Con ventas")</f>
        <v>Con ventas</v>
      </c>
      <c r="L220" s="20">
        <f t="shared" si="9"/>
        <v>230.32099999999997</v>
      </c>
      <c r="M220" s="20">
        <f t="shared" si="10"/>
        <v>4606.4199999999992</v>
      </c>
      <c r="N220" s="20">
        <f>Tabla1[[#This Row],[Venta Total (USD)]] - Tabla1[[#This Row],[Costo Total (USD)]]</f>
        <v>1974.1800000000003</v>
      </c>
    </row>
    <row r="221" spans="1:14" x14ac:dyDescent="0.25">
      <c r="A221" t="s">
        <v>15</v>
      </c>
      <c r="B221" t="s">
        <v>21</v>
      </c>
      <c r="C221" t="s">
        <v>22</v>
      </c>
      <c r="D221">
        <v>2024</v>
      </c>
      <c r="E221">
        <v>9</v>
      </c>
      <c r="F221">
        <v>17</v>
      </c>
      <c r="G221" s="20">
        <v>37.82</v>
      </c>
      <c r="H221" s="20">
        <f>Tabla1[[#This Row],[Cantidad Vendida]]*Tabla1[[#This Row],[Precio Unitario (USD)]]</f>
        <v>642.94000000000005</v>
      </c>
      <c r="I221" s="21">
        <v>7.66</v>
      </c>
      <c r="J221" s="5">
        <f t="shared" si="11"/>
        <v>4924.9204000000009</v>
      </c>
      <c r="K221" t="str">
        <f>IF(Tabla1[[#This Row],[Venta Total (Q)]] = 0, "Sin ventas", "Con ventas")</f>
        <v>Con ventas</v>
      </c>
      <c r="L221" s="20">
        <f t="shared" si="9"/>
        <v>26.474</v>
      </c>
      <c r="M221" s="20">
        <f t="shared" si="10"/>
        <v>450.05799999999999</v>
      </c>
      <c r="N221" s="20">
        <f>Tabla1[[#This Row],[Venta Total (USD)]] - Tabla1[[#This Row],[Costo Total (USD)]]</f>
        <v>192.88200000000006</v>
      </c>
    </row>
    <row r="222" spans="1:14" x14ac:dyDescent="0.25">
      <c r="A222" t="s">
        <v>15</v>
      </c>
      <c r="B222" t="s">
        <v>21</v>
      </c>
      <c r="C222" t="s">
        <v>22</v>
      </c>
      <c r="D222">
        <v>2024</v>
      </c>
      <c r="E222">
        <v>8</v>
      </c>
      <c r="F222">
        <v>13</v>
      </c>
      <c r="G222" s="20">
        <v>299.02</v>
      </c>
      <c r="H222" s="20">
        <f>Tabla1[[#This Row],[Cantidad Vendida]]*Tabla1[[#This Row],[Precio Unitario (USD)]]</f>
        <v>3887.2599999999998</v>
      </c>
      <c r="I222" s="21">
        <v>7.86</v>
      </c>
      <c r="J222" s="5">
        <f t="shared" si="11"/>
        <v>30553.863600000001</v>
      </c>
      <c r="K222" t="str">
        <f>IF(Tabla1[[#This Row],[Venta Total (Q)]] = 0, "Sin ventas", "Con ventas")</f>
        <v>Con ventas</v>
      </c>
      <c r="L222" s="20">
        <f t="shared" si="9"/>
        <v>209.31399999999996</v>
      </c>
      <c r="M222" s="20">
        <f t="shared" si="10"/>
        <v>2721.0819999999994</v>
      </c>
      <c r="N222" s="20">
        <f>Tabla1[[#This Row],[Venta Total (USD)]] - Tabla1[[#This Row],[Costo Total (USD)]]</f>
        <v>1166.1780000000003</v>
      </c>
    </row>
    <row r="223" spans="1:14" x14ac:dyDescent="0.25">
      <c r="A223" t="s">
        <v>16</v>
      </c>
      <c r="B223" t="s">
        <v>21</v>
      </c>
      <c r="C223" t="s">
        <v>24</v>
      </c>
      <c r="D223">
        <v>2025</v>
      </c>
      <c r="E223">
        <v>5</v>
      </c>
      <c r="F223">
        <v>2</v>
      </c>
      <c r="G223" s="20">
        <v>40.619999999999997</v>
      </c>
      <c r="H223" s="20">
        <f>Tabla1[[#This Row],[Cantidad Vendida]]*Tabla1[[#This Row],[Precio Unitario (USD)]]</f>
        <v>81.239999999999995</v>
      </c>
      <c r="I223" s="21">
        <v>7.78</v>
      </c>
      <c r="J223" s="5">
        <f t="shared" si="11"/>
        <v>632.04719999999998</v>
      </c>
      <c r="K223" t="str">
        <f>IF(Tabla1[[#This Row],[Venta Total (Q)]] = 0, "Sin ventas", "Con ventas")</f>
        <v>Con ventas</v>
      </c>
      <c r="L223" s="20">
        <f t="shared" si="9"/>
        <v>28.433999999999997</v>
      </c>
      <c r="M223" s="20">
        <f t="shared" si="10"/>
        <v>56.867999999999995</v>
      </c>
      <c r="N223" s="20">
        <f>Tabla1[[#This Row],[Venta Total (USD)]] - Tabla1[[#This Row],[Costo Total (USD)]]</f>
        <v>24.372</v>
      </c>
    </row>
    <row r="224" spans="1:14" x14ac:dyDescent="0.25">
      <c r="A224" t="s">
        <v>31</v>
      </c>
      <c r="B224" t="s">
        <v>13</v>
      </c>
      <c r="C224" t="s">
        <v>27</v>
      </c>
      <c r="D224">
        <v>2022</v>
      </c>
      <c r="E224">
        <v>8</v>
      </c>
      <c r="F224">
        <v>9</v>
      </c>
      <c r="G224" s="20">
        <v>446.72</v>
      </c>
      <c r="H224" s="20">
        <f>Tabla1[[#This Row],[Cantidad Vendida]]*Tabla1[[#This Row],[Precio Unitario (USD)]]</f>
        <v>4020.4800000000005</v>
      </c>
      <c r="I224" s="21">
        <v>8.39</v>
      </c>
      <c r="J224" s="5">
        <f t="shared" si="11"/>
        <v>33731.827200000007</v>
      </c>
      <c r="K224" t="str">
        <f>IF(Tabla1[[#This Row],[Venta Total (Q)]] = 0, "Sin ventas", "Con ventas")</f>
        <v>Con ventas</v>
      </c>
      <c r="L224" s="20">
        <f t="shared" si="9"/>
        <v>312.70400000000001</v>
      </c>
      <c r="M224" s="20">
        <f t="shared" si="10"/>
        <v>2814.3360000000002</v>
      </c>
      <c r="N224" s="20">
        <f>Tabla1[[#This Row],[Venta Total (USD)]] - Tabla1[[#This Row],[Costo Total (USD)]]</f>
        <v>1206.1440000000002</v>
      </c>
    </row>
    <row r="225" spans="1:14" x14ac:dyDescent="0.25">
      <c r="A225" t="s">
        <v>20</v>
      </c>
      <c r="B225" t="s">
        <v>11</v>
      </c>
      <c r="C225" t="s">
        <v>12</v>
      </c>
      <c r="D225">
        <v>2023</v>
      </c>
      <c r="E225">
        <v>1</v>
      </c>
      <c r="F225">
        <v>11</v>
      </c>
      <c r="G225" s="20">
        <v>494.38</v>
      </c>
      <c r="H225" s="20">
        <f>Tabla1[[#This Row],[Cantidad Vendida]]*Tabla1[[#This Row],[Precio Unitario (USD)]]</f>
        <v>5438.18</v>
      </c>
      <c r="I225" s="21">
        <v>8.39</v>
      </c>
      <c r="J225" s="5">
        <f t="shared" si="11"/>
        <v>45626.330200000004</v>
      </c>
      <c r="K225" t="str">
        <f>IF(Tabla1[[#This Row],[Venta Total (Q)]] = 0, "Sin ventas", "Con ventas")</f>
        <v>Con ventas</v>
      </c>
      <c r="L225" s="20">
        <f t="shared" si="9"/>
        <v>346.06599999999997</v>
      </c>
      <c r="M225" s="20">
        <f t="shared" si="10"/>
        <v>3806.7259999999997</v>
      </c>
      <c r="N225" s="20">
        <f>Tabla1[[#This Row],[Venta Total (USD)]] - Tabla1[[#This Row],[Costo Total (USD)]]</f>
        <v>1631.4540000000006</v>
      </c>
    </row>
    <row r="226" spans="1:14" x14ac:dyDescent="0.25">
      <c r="A226" t="s">
        <v>16</v>
      </c>
      <c r="B226" t="s">
        <v>28</v>
      </c>
      <c r="C226" t="s">
        <v>39</v>
      </c>
      <c r="D226">
        <v>2024</v>
      </c>
      <c r="E226">
        <v>3</v>
      </c>
      <c r="F226">
        <v>16</v>
      </c>
      <c r="G226" s="20">
        <v>389.41</v>
      </c>
      <c r="H226" s="20">
        <f>Tabla1[[#This Row],[Cantidad Vendida]]*Tabla1[[#This Row],[Precio Unitario (USD)]]</f>
        <v>6230.56</v>
      </c>
      <c r="I226" s="21">
        <v>7.95</v>
      </c>
      <c r="J226" s="5">
        <f t="shared" si="11"/>
        <v>49532.952000000005</v>
      </c>
      <c r="K226" t="str">
        <f>IF(Tabla1[[#This Row],[Venta Total (Q)]] = 0, "Sin ventas", "Con ventas")</f>
        <v>Con ventas</v>
      </c>
      <c r="L226" s="20">
        <f t="shared" si="9"/>
        <v>272.58699999999999</v>
      </c>
      <c r="M226" s="20">
        <f t="shared" si="10"/>
        <v>4361.3919999999998</v>
      </c>
      <c r="N226" s="20">
        <f>Tabla1[[#This Row],[Venta Total (USD)]] - Tabla1[[#This Row],[Costo Total (USD)]]</f>
        <v>1869.1680000000006</v>
      </c>
    </row>
    <row r="227" spans="1:14" x14ac:dyDescent="0.25">
      <c r="A227" t="s">
        <v>20</v>
      </c>
      <c r="B227" t="s">
        <v>17</v>
      </c>
      <c r="C227" t="s">
        <v>19</v>
      </c>
      <c r="D227">
        <v>2025</v>
      </c>
      <c r="E227">
        <v>10</v>
      </c>
      <c r="F227">
        <v>12</v>
      </c>
      <c r="G227" s="20">
        <v>349.9</v>
      </c>
      <c r="H227" s="20">
        <f>Tabla1[[#This Row],[Cantidad Vendida]]*Tabla1[[#This Row],[Precio Unitario (USD)]]</f>
        <v>4198.7999999999993</v>
      </c>
      <c r="I227" s="21">
        <v>7.88</v>
      </c>
      <c r="J227" s="5">
        <f t="shared" si="11"/>
        <v>33086.543999999994</v>
      </c>
      <c r="K227" t="str">
        <f>IF(Tabla1[[#This Row],[Venta Total (Q)]] = 0, "Sin ventas", "Con ventas")</f>
        <v>Con ventas</v>
      </c>
      <c r="L227" s="20">
        <f t="shared" si="9"/>
        <v>244.92999999999998</v>
      </c>
      <c r="M227" s="20">
        <f t="shared" si="10"/>
        <v>2939.16</v>
      </c>
      <c r="N227" s="20">
        <f>Tabla1[[#This Row],[Venta Total (USD)]] - Tabla1[[#This Row],[Costo Total (USD)]]</f>
        <v>1259.6399999999994</v>
      </c>
    </row>
    <row r="228" spans="1:14" x14ac:dyDescent="0.25">
      <c r="A228" t="s">
        <v>15</v>
      </c>
      <c r="B228" t="s">
        <v>11</v>
      </c>
      <c r="C228" t="s">
        <v>37</v>
      </c>
      <c r="D228">
        <v>2023</v>
      </c>
      <c r="E228">
        <v>11</v>
      </c>
      <c r="F228">
        <v>19</v>
      </c>
      <c r="G228" s="20">
        <v>240.87</v>
      </c>
      <c r="H228" s="20">
        <f>Tabla1[[#This Row],[Cantidad Vendida]]*Tabla1[[#This Row],[Precio Unitario (USD)]]</f>
        <v>4576.53</v>
      </c>
      <c r="I228" s="21">
        <v>7.62</v>
      </c>
      <c r="J228" s="5">
        <f t="shared" si="11"/>
        <v>34873.158599999995</v>
      </c>
      <c r="K228" t="str">
        <f>IF(Tabla1[[#This Row],[Venta Total (Q)]] = 0, "Sin ventas", "Con ventas")</f>
        <v>Con ventas</v>
      </c>
      <c r="L228" s="20">
        <f t="shared" si="9"/>
        <v>168.60899999999998</v>
      </c>
      <c r="M228" s="20">
        <f t="shared" si="10"/>
        <v>3203.5709999999995</v>
      </c>
      <c r="N228" s="20">
        <f>Tabla1[[#This Row],[Venta Total (USD)]] - Tabla1[[#This Row],[Costo Total (USD)]]</f>
        <v>1372.9590000000003</v>
      </c>
    </row>
    <row r="229" spans="1:14" x14ac:dyDescent="0.25">
      <c r="A229" t="s">
        <v>16</v>
      </c>
      <c r="B229" t="s">
        <v>21</v>
      </c>
      <c r="C229" t="s">
        <v>22</v>
      </c>
      <c r="D229">
        <v>2023</v>
      </c>
      <c r="E229">
        <v>5</v>
      </c>
      <c r="F229">
        <v>19</v>
      </c>
      <c r="G229" s="20">
        <v>48.35</v>
      </c>
      <c r="H229" s="20">
        <f>Tabla1[[#This Row],[Cantidad Vendida]]*Tabla1[[#This Row],[Precio Unitario (USD)]]</f>
        <v>918.65</v>
      </c>
      <c r="I229" s="21">
        <v>8.3000000000000007</v>
      </c>
      <c r="J229" s="5">
        <f t="shared" si="11"/>
        <v>7624.7950000000001</v>
      </c>
      <c r="K229" t="str">
        <f>IF(Tabla1[[#This Row],[Venta Total (Q)]] = 0, "Sin ventas", "Con ventas")</f>
        <v>Con ventas</v>
      </c>
      <c r="L229" s="20">
        <f t="shared" si="9"/>
        <v>33.844999999999999</v>
      </c>
      <c r="M229" s="20">
        <f t="shared" si="10"/>
        <v>643.05499999999995</v>
      </c>
      <c r="N229" s="20">
        <f>Tabla1[[#This Row],[Venta Total (USD)]] - Tabla1[[#This Row],[Costo Total (USD)]]</f>
        <v>275.59500000000003</v>
      </c>
    </row>
    <row r="230" spans="1:14" x14ac:dyDescent="0.25">
      <c r="A230" t="s">
        <v>35</v>
      </c>
      <c r="B230" t="s">
        <v>11</v>
      </c>
      <c r="C230" t="s">
        <v>23</v>
      </c>
      <c r="D230">
        <v>2024</v>
      </c>
      <c r="E230">
        <v>3</v>
      </c>
      <c r="F230">
        <v>2</v>
      </c>
      <c r="G230" s="20">
        <v>486.41</v>
      </c>
      <c r="H230" s="20">
        <f>Tabla1[[#This Row],[Cantidad Vendida]]*Tabla1[[#This Row],[Precio Unitario (USD)]]</f>
        <v>972.82</v>
      </c>
      <c r="I230" s="21">
        <v>8.39</v>
      </c>
      <c r="J230" s="5">
        <f t="shared" si="11"/>
        <v>8161.9598000000005</v>
      </c>
      <c r="K230" t="str">
        <f>IF(Tabla1[[#This Row],[Venta Total (Q)]] = 0, "Sin ventas", "Con ventas")</f>
        <v>Con ventas</v>
      </c>
      <c r="L230" s="20">
        <f t="shared" si="9"/>
        <v>340.48700000000002</v>
      </c>
      <c r="M230" s="20">
        <f t="shared" si="10"/>
        <v>680.97400000000005</v>
      </c>
      <c r="N230" s="20">
        <f>Tabla1[[#This Row],[Venta Total (USD)]] - Tabla1[[#This Row],[Costo Total (USD)]]</f>
        <v>291.846</v>
      </c>
    </row>
    <row r="231" spans="1:14" x14ac:dyDescent="0.25">
      <c r="A231" t="s">
        <v>10</v>
      </c>
      <c r="B231" t="s">
        <v>21</v>
      </c>
      <c r="C231" t="s">
        <v>22</v>
      </c>
      <c r="D231">
        <v>2024</v>
      </c>
      <c r="E231">
        <v>5</v>
      </c>
      <c r="F231">
        <v>10</v>
      </c>
      <c r="G231" s="20">
        <v>362.92</v>
      </c>
      <c r="H231" s="20">
        <f>Tabla1[[#This Row],[Cantidad Vendida]]*Tabla1[[#This Row],[Precio Unitario (USD)]]</f>
        <v>3629.2000000000003</v>
      </c>
      <c r="I231" s="21">
        <v>7.73</v>
      </c>
      <c r="J231" s="5">
        <f t="shared" si="11"/>
        <v>28053.716000000004</v>
      </c>
      <c r="K231" t="str">
        <f>IF(Tabla1[[#This Row],[Venta Total (Q)]] = 0, "Sin ventas", "Con ventas")</f>
        <v>Con ventas</v>
      </c>
      <c r="L231" s="20">
        <f t="shared" si="9"/>
        <v>254.04399999999998</v>
      </c>
      <c r="M231" s="20">
        <f t="shared" si="10"/>
        <v>2540.4399999999996</v>
      </c>
      <c r="N231" s="20">
        <f>Tabla1[[#This Row],[Venta Total (USD)]] - Tabla1[[#This Row],[Costo Total (USD)]]</f>
        <v>1088.7600000000007</v>
      </c>
    </row>
    <row r="232" spans="1:14" x14ac:dyDescent="0.25">
      <c r="A232" t="s">
        <v>35</v>
      </c>
      <c r="B232" t="s">
        <v>17</v>
      </c>
      <c r="C232" t="s">
        <v>18</v>
      </c>
      <c r="D232">
        <v>2025</v>
      </c>
      <c r="E232">
        <v>10</v>
      </c>
      <c r="F232">
        <v>11</v>
      </c>
      <c r="G232" s="20">
        <v>11.39</v>
      </c>
      <c r="H232" s="20">
        <f>Tabla1[[#This Row],[Cantidad Vendida]]*Tabla1[[#This Row],[Precio Unitario (USD)]]</f>
        <v>125.29</v>
      </c>
      <c r="I232" s="21">
        <v>8.02</v>
      </c>
      <c r="J232" s="5">
        <f t="shared" si="11"/>
        <v>1004.8258</v>
      </c>
      <c r="K232" t="str">
        <f>IF(Tabla1[[#This Row],[Venta Total (Q)]] = 0, "Sin ventas", "Con ventas")</f>
        <v>Con ventas</v>
      </c>
      <c r="L232" s="20">
        <f t="shared" si="9"/>
        <v>7.9729999999999999</v>
      </c>
      <c r="M232" s="20">
        <f t="shared" si="10"/>
        <v>87.703000000000003</v>
      </c>
      <c r="N232" s="20">
        <f>Tabla1[[#This Row],[Venta Total (USD)]] - Tabla1[[#This Row],[Costo Total (USD)]]</f>
        <v>37.587000000000003</v>
      </c>
    </row>
    <row r="233" spans="1:14" x14ac:dyDescent="0.25">
      <c r="A233" t="s">
        <v>15</v>
      </c>
      <c r="B233" t="s">
        <v>11</v>
      </c>
      <c r="C233" t="s">
        <v>25</v>
      </c>
      <c r="D233">
        <v>2024</v>
      </c>
      <c r="E233">
        <v>1</v>
      </c>
      <c r="F233">
        <v>16</v>
      </c>
      <c r="G233" s="20">
        <v>433.38</v>
      </c>
      <c r="H233" s="20">
        <f>Tabla1[[#This Row],[Cantidad Vendida]]*Tabla1[[#This Row],[Precio Unitario (USD)]]</f>
        <v>6934.08</v>
      </c>
      <c r="I233" s="21">
        <v>8.4700000000000006</v>
      </c>
      <c r="J233" s="5">
        <f t="shared" si="11"/>
        <v>58731.657600000006</v>
      </c>
      <c r="K233" t="str">
        <f>IF(Tabla1[[#This Row],[Venta Total (Q)]] = 0, "Sin ventas", "Con ventas")</f>
        <v>Con ventas</v>
      </c>
      <c r="L233" s="20">
        <f t="shared" si="9"/>
        <v>303.36599999999999</v>
      </c>
      <c r="M233" s="20">
        <f t="shared" si="10"/>
        <v>4853.8559999999998</v>
      </c>
      <c r="N233" s="20">
        <f>Tabla1[[#This Row],[Venta Total (USD)]] - Tabla1[[#This Row],[Costo Total (USD)]]</f>
        <v>2080.2240000000002</v>
      </c>
    </row>
    <row r="234" spans="1:14" x14ac:dyDescent="0.25">
      <c r="A234" t="s">
        <v>31</v>
      </c>
      <c r="B234" t="s">
        <v>21</v>
      </c>
      <c r="C234" t="s">
        <v>32</v>
      </c>
      <c r="D234">
        <v>2025</v>
      </c>
      <c r="E234">
        <v>9</v>
      </c>
      <c r="F234">
        <v>17</v>
      </c>
      <c r="G234" s="20">
        <v>249.73</v>
      </c>
      <c r="H234" s="20">
        <f>Tabla1[[#This Row],[Cantidad Vendida]]*Tabla1[[#This Row],[Precio Unitario (USD)]]</f>
        <v>4245.41</v>
      </c>
      <c r="I234" s="21">
        <v>8.34</v>
      </c>
      <c r="J234" s="5">
        <f t="shared" si="11"/>
        <v>35406.719400000002</v>
      </c>
      <c r="K234" t="str">
        <f>IF(Tabla1[[#This Row],[Venta Total (Q)]] = 0, "Sin ventas", "Con ventas")</f>
        <v>Con ventas</v>
      </c>
      <c r="L234" s="20">
        <f t="shared" si="9"/>
        <v>174.81099999999998</v>
      </c>
      <c r="M234" s="20">
        <f t="shared" si="10"/>
        <v>2971.7869999999998</v>
      </c>
      <c r="N234" s="20">
        <f>Tabla1[[#This Row],[Venta Total (USD)]] - Tabla1[[#This Row],[Costo Total (USD)]]</f>
        <v>1273.623</v>
      </c>
    </row>
    <row r="235" spans="1:14" x14ac:dyDescent="0.25">
      <c r="A235" t="s">
        <v>16</v>
      </c>
      <c r="B235" t="s">
        <v>21</v>
      </c>
      <c r="C235" t="s">
        <v>24</v>
      </c>
      <c r="D235">
        <v>2023</v>
      </c>
      <c r="E235">
        <v>11</v>
      </c>
      <c r="F235">
        <v>14</v>
      </c>
      <c r="G235" s="20">
        <v>55.28</v>
      </c>
      <c r="H235" s="20">
        <f>Tabla1[[#This Row],[Cantidad Vendida]]*Tabla1[[#This Row],[Precio Unitario (USD)]]</f>
        <v>773.92000000000007</v>
      </c>
      <c r="I235" s="21">
        <v>8.33</v>
      </c>
      <c r="J235" s="5">
        <f t="shared" si="11"/>
        <v>6446.7536000000009</v>
      </c>
      <c r="K235" t="str">
        <f>IF(Tabla1[[#This Row],[Venta Total (Q)]] = 0, "Sin ventas", "Con ventas")</f>
        <v>Con ventas</v>
      </c>
      <c r="L235" s="20">
        <f t="shared" si="9"/>
        <v>38.695999999999998</v>
      </c>
      <c r="M235" s="20">
        <f t="shared" si="10"/>
        <v>541.74399999999991</v>
      </c>
      <c r="N235" s="20">
        <f>Tabla1[[#This Row],[Venta Total (USD)]] - Tabla1[[#This Row],[Costo Total (USD)]]</f>
        <v>232.17600000000016</v>
      </c>
    </row>
    <row r="236" spans="1:14" x14ac:dyDescent="0.25">
      <c r="A236" t="s">
        <v>20</v>
      </c>
      <c r="B236" t="s">
        <v>17</v>
      </c>
      <c r="C236" t="s">
        <v>33</v>
      </c>
      <c r="D236">
        <v>2022</v>
      </c>
      <c r="E236">
        <v>12</v>
      </c>
      <c r="F236">
        <v>7</v>
      </c>
      <c r="G236" s="20">
        <v>482.04</v>
      </c>
      <c r="H236" s="20">
        <f>Tabla1[[#This Row],[Cantidad Vendida]]*Tabla1[[#This Row],[Precio Unitario (USD)]]</f>
        <v>3374.28</v>
      </c>
      <c r="I236" s="21">
        <v>7.8</v>
      </c>
      <c r="J236" s="5">
        <f t="shared" si="11"/>
        <v>26319.384000000002</v>
      </c>
      <c r="K236" t="str">
        <f>IF(Tabla1[[#This Row],[Venta Total (Q)]] = 0, "Sin ventas", "Con ventas")</f>
        <v>Con ventas</v>
      </c>
      <c r="L236" s="20">
        <f t="shared" si="9"/>
        <v>337.428</v>
      </c>
      <c r="M236" s="20">
        <f t="shared" si="10"/>
        <v>2361.9960000000001</v>
      </c>
      <c r="N236" s="20">
        <f>Tabla1[[#This Row],[Venta Total (USD)]] - Tabla1[[#This Row],[Costo Total (USD)]]</f>
        <v>1012.2840000000001</v>
      </c>
    </row>
    <row r="237" spans="1:14" x14ac:dyDescent="0.25">
      <c r="A237" t="s">
        <v>31</v>
      </c>
      <c r="B237" t="s">
        <v>28</v>
      </c>
      <c r="C237" t="s">
        <v>39</v>
      </c>
      <c r="D237">
        <v>2022</v>
      </c>
      <c r="E237">
        <v>7</v>
      </c>
      <c r="F237">
        <v>13</v>
      </c>
      <c r="G237" s="20">
        <v>77.59</v>
      </c>
      <c r="H237" s="20">
        <f>Tabla1[[#This Row],[Cantidad Vendida]]*Tabla1[[#This Row],[Precio Unitario (USD)]]</f>
        <v>1008.6700000000001</v>
      </c>
      <c r="I237" s="21">
        <v>7.82</v>
      </c>
      <c r="J237" s="5">
        <f t="shared" si="11"/>
        <v>7887.7994000000008</v>
      </c>
      <c r="K237" t="str">
        <f>IF(Tabla1[[#This Row],[Venta Total (Q)]] = 0, "Sin ventas", "Con ventas")</f>
        <v>Con ventas</v>
      </c>
      <c r="L237" s="20">
        <f t="shared" si="9"/>
        <v>54.313000000000002</v>
      </c>
      <c r="M237" s="20">
        <f t="shared" si="10"/>
        <v>706.06900000000007</v>
      </c>
      <c r="N237" s="20">
        <f>Tabla1[[#This Row],[Venta Total (USD)]] - Tabla1[[#This Row],[Costo Total (USD)]]</f>
        <v>302.601</v>
      </c>
    </row>
    <row r="238" spans="1:14" x14ac:dyDescent="0.25">
      <c r="A238" t="s">
        <v>10</v>
      </c>
      <c r="B238" t="s">
        <v>13</v>
      </c>
      <c r="C238" t="s">
        <v>36</v>
      </c>
      <c r="D238">
        <v>2025</v>
      </c>
      <c r="E238">
        <v>1</v>
      </c>
      <c r="F238">
        <v>8</v>
      </c>
      <c r="G238" s="20">
        <v>64.22</v>
      </c>
      <c r="H238" s="20">
        <f>Tabla1[[#This Row],[Cantidad Vendida]]*Tabla1[[#This Row],[Precio Unitario (USD)]]</f>
        <v>513.76</v>
      </c>
      <c r="I238" s="21">
        <v>7.68</v>
      </c>
      <c r="J238" s="5">
        <f t="shared" si="11"/>
        <v>3945.6767999999997</v>
      </c>
      <c r="K238" t="str">
        <f>IF(Tabla1[[#This Row],[Venta Total (Q)]] = 0, "Sin ventas", "Con ventas")</f>
        <v>Con ventas</v>
      </c>
      <c r="L238" s="20">
        <f t="shared" si="9"/>
        <v>44.953999999999994</v>
      </c>
      <c r="M238" s="20">
        <f t="shared" si="10"/>
        <v>359.63199999999995</v>
      </c>
      <c r="N238" s="20">
        <f>Tabla1[[#This Row],[Venta Total (USD)]] - Tabla1[[#This Row],[Costo Total (USD)]]</f>
        <v>154.12800000000004</v>
      </c>
    </row>
    <row r="239" spans="1:14" x14ac:dyDescent="0.25">
      <c r="A239" t="s">
        <v>15</v>
      </c>
      <c r="B239" t="s">
        <v>28</v>
      </c>
      <c r="C239" t="s">
        <v>40</v>
      </c>
      <c r="D239">
        <v>2025</v>
      </c>
      <c r="E239">
        <v>9</v>
      </c>
      <c r="F239">
        <v>4</v>
      </c>
      <c r="G239" s="20">
        <v>47.95</v>
      </c>
      <c r="H239" s="20">
        <f>Tabla1[[#This Row],[Cantidad Vendida]]*Tabla1[[#This Row],[Precio Unitario (USD)]]</f>
        <v>191.8</v>
      </c>
      <c r="I239" s="21">
        <v>7.74</v>
      </c>
      <c r="J239" s="5">
        <f t="shared" si="11"/>
        <v>1484.5320000000002</v>
      </c>
      <c r="K239" t="str">
        <f>IF(Tabla1[[#This Row],[Venta Total (Q)]] = 0, "Sin ventas", "Con ventas")</f>
        <v>Con ventas</v>
      </c>
      <c r="L239" s="20">
        <f t="shared" si="9"/>
        <v>33.564999999999998</v>
      </c>
      <c r="M239" s="20">
        <f t="shared" si="10"/>
        <v>134.26</v>
      </c>
      <c r="N239" s="20">
        <f>Tabla1[[#This Row],[Venta Total (USD)]] - Tabla1[[#This Row],[Costo Total (USD)]]</f>
        <v>57.54000000000002</v>
      </c>
    </row>
    <row r="240" spans="1:14" x14ac:dyDescent="0.25">
      <c r="A240" t="s">
        <v>15</v>
      </c>
      <c r="B240" t="s">
        <v>13</v>
      </c>
      <c r="C240" t="s">
        <v>30</v>
      </c>
      <c r="D240">
        <v>2022</v>
      </c>
      <c r="E240">
        <v>6</v>
      </c>
      <c r="F240">
        <v>14</v>
      </c>
      <c r="G240" s="20">
        <v>200.73</v>
      </c>
      <c r="H240" s="20">
        <f>Tabla1[[#This Row],[Cantidad Vendida]]*Tabla1[[#This Row],[Precio Unitario (USD)]]</f>
        <v>2810.22</v>
      </c>
      <c r="I240" s="21">
        <v>7.89</v>
      </c>
      <c r="J240" s="5">
        <f t="shared" si="11"/>
        <v>22172.635799999996</v>
      </c>
      <c r="K240" t="str">
        <f>IF(Tabla1[[#This Row],[Venta Total (Q)]] = 0, "Sin ventas", "Con ventas")</f>
        <v>Con ventas</v>
      </c>
      <c r="L240" s="20">
        <f t="shared" si="9"/>
        <v>140.511</v>
      </c>
      <c r="M240" s="20">
        <f t="shared" si="10"/>
        <v>1967.154</v>
      </c>
      <c r="N240" s="20">
        <f>Tabla1[[#This Row],[Venta Total (USD)]] - Tabla1[[#This Row],[Costo Total (USD)]]</f>
        <v>843.0659999999998</v>
      </c>
    </row>
    <row r="241" spans="1:14" x14ac:dyDescent="0.25">
      <c r="A241" t="s">
        <v>35</v>
      </c>
      <c r="B241" t="s">
        <v>28</v>
      </c>
      <c r="C241" t="s">
        <v>39</v>
      </c>
      <c r="D241">
        <v>2024</v>
      </c>
      <c r="E241">
        <v>6</v>
      </c>
      <c r="F241">
        <v>20</v>
      </c>
      <c r="G241" s="20">
        <v>443.88</v>
      </c>
      <c r="H241" s="20">
        <f>Tabla1[[#This Row],[Cantidad Vendida]]*Tabla1[[#This Row],[Precio Unitario (USD)]]</f>
        <v>8877.6</v>
      </c>
      <c r="I241" s="21">
        <v>8.07</v>
      </c>
      <c r="J241" s="5">
        <f t="shared" si="11"/>
        <v>71642.232000000004</v>
      </c>
      <c r="K241" t="str">
        <f>IF(Tabla1[[#This Row],[Venta Total (Q)]] = 0, "Sin ventas", "Con ventas")</f>
        <v>Con ventas</v>
      </c>
      <c r="L241" s="20">
        <f t="shared" si="9"/>
        <v>310.71599999999995</v>
      </c>
      <c r="M241" s="20">
        <f t="shared" si="10"/>
        <v>6214.3199999999988</v>
      </c>
      <c r="N241" s="20">
        <f>Tabla1[[#This Row],[Venta Total (USD)]] - Tabla1[[#This Row],[Costo Total (USD)]]</f>
        <v>2663.2800000000016</v>
      </c>
    </row>
    <row r="242" spans="1:14" x14ac:dyDescent="0.25">
      <c r="A242" t="s">
        <v>15</v>
      </c>
      <c r="B242" t="s">
        <v>21</v>
      </c>
      <c r="C242" t="s">
        <v>32</v>
      </c>
      <c r="D242">
        <v>2025</v>
      </c>
      <c r="E242">
        <v>1</v>
      </c>
      <c r="F242">
        <v>1</v>
      </c>
      <c r="G242" s="20">
        <v>419.09</v>
      </c>
      <c r="H242" s="20">
        <f>Tabla1[[#This Row],[Cantidad Vendida]]*Tabla1[[#This Row],[Precio Unitario (USD)]]</f>
        <v>419.09</v>
      </c>
      <c r="I242" s="21">
        <v>7.89</v>
      </c>
      <c r="J242" s="5">
        <f t="shared" si="11"/>
        <v>3306.6200999999996</v>
      </c>
      <c r="K242" t="str">
        <f>IF(Tabla1[[#This Row],[Venta Total (Q)]] = 0, "Sin ventas", "Con ventas")</f>
        <v>Con ventas</v>
      </c>
      <c r="L242" s="20">
        <f t="shared" si="9"/>
        <v>293.36299999999994</v>
      </c>
      <c r="M242" s="20">
        <f t="shared" si="10"/>
        <v>293.36299999999994</v>
      </c>
      <c r="N242" s="20">
        <f>Tabla1[[#This Row],[Venta Total (USD)]] - Tabla1[[#This Row],[Costo Total (USD)]]</f>
        <v>125.72700000000003</v>
      </c>
    </row>
    <row r="243" spans="1:14" x14ac:dyDescent="0.25">
      <c r="A243" t="s">
        <v>31</v>
      </c>
      <c r="B243" t="s">
        <v>21</v>
      </c>
      <c r="C243" t="s">
        <v>22</v>
      </c>
      <c r="D243">
        <v>2022</v>
      </c>
      <c r="E243">
        <v>12</v>
      </c>
      <c r="F243">
        <v>19</v>
      </c>
      <c r="G243" s="20">
        <v>128.34</v>
      </c>
      <c r="H243" s="20">
        <f>Tabla1[[#This Row],[Cantidad Vendida]]*Tabla1[[#This Row],[Precio Unitario (USD)]]</f>
        <v>2438.46</v>
      </c>
      <c r="I243" s="21">
        <v>7.67</v>
      </c>
      <c r="J243" s="5">
        <f t="shared" si="11"/>
        <v>18702.9882</v>
      </c>
      <c r="K243" t="str">
        <f>IF(Tabla1[[#This Row],[Venta Total (Q)]] = 0, "Sin ventas", "Con ventas")</f>
        <v>Con ventas</v>
      </c>
      <c r="L243" s="20">
        <f t="shared" si="9"/>
        <v>89.837999999999994</v>
      </c>
      <c r="M243" s="20">
        <f t="shared" si="10"/>
        <v>1706.9219999999998</v>
      </c>
      <c r="N243" s="20">
        <f>Tabla1[[#This Row],[Venta Total (USD)]] - Tabla1[[#This Row],[Costo Total (USD)]]</f>
        <v>731.53800000000024</v>
      </c>
    </row>
    <row r="244" spans="1:14" x14ac:dyDescent="0.25">
      <c r="A244" t="s">
        <v>35</v>
      </c>
      <c r="B244" t="s">
        <v>11</v>
      </c>
      <c r="C244" t="s">
        <v>25</v>
      </c>
      <c r="D244">
        <v>2023</v>
      </c>
      <c r="E244">
        <v>9</v>
      </c>
      <c r="F244">
        <v>10</v>
      </c>
      <c r="G244" s="20">
        <v>420.52</v>
      </c>
      <c r="H244" s="20">
        <f>Tabla1[[#This Row],[Cantidad Vendida]]*Tabla1[[#This Row],[Precio Unitario (USD)]]</f>
        <v>4205.2</v>
      </c>
      <c r="I244" s="21">
        <v>7.76</v>
      </c>
      <c r="J244" s="5">
        <f t="shared" si="11"/>
        <v>32632.351999999999</v>
      </c>
      <c r="K244" t="str">
        <f>IF(Tabla1[[#This Row],[Venta Total (Q)]] = 0, "Sin ventas", "Con ventas")</f>
        <v>Con ventas</v>
      </c>
      <c r="L244" s="20">
        <f t="shared" si="9"/>
        <v>294.36399999999998</v>
      </c>
      <c r="M244" s="20">
        <f t="shared" si="10"/>
        <v>2943.64</v>
      </c>
      <c r="N244" s="20">
        <f>Tabla1[[#This Row],[Venta Total (USD)]] - Tabla1[[#This Row],[Costo Total (USD)]]</f>
        <v>1261.56</v>
      </c>
    </row>
    <row r="245" spans="1:14" x14ac:dyDescent="0.25">
      <c r="A245" t="s">
        <v>15</v>
      </c>
      <c r="B245" t="s">
        <v>13</v>
      </c>
      <c r="C245" t="s">
        <v>14</v>
      </c>
      <c r="D245">
        <v>2024</v>
      </c>
      <c r="E245">
        <v>1</v>
      </c>
      <c r="F245">
        <v>5</v>
      </c>
      <c r="G245" s="20">
        <v>223.88</v>
      </c>
      <c r="H245" s="20">
        <f>Tabla1[[#This Row],[Cantidad Vendida]]*Tabla1[[#This Row],[Precio Unitario (USD)]]</f>
        <v>1119.4000000000001</v>
      </c>
      <c r="I245" s="21">
        <v>7.97</v>
      </c>
      <c r="J245" s="5">
        <f t="shared" si="11"/>
        <v>8921.6180000000004</v>
      </c>
      <c r="K245" t="str">
        <f>IF(Tabla1[[#This Row],[Venta Total (Q)]] = 0, "Sin ventas", "Con ventas")</f>
        <v>Con ventas</v>
      </c>
      <c r="L245" s="20">
        <f t="shared" si="9"/>
        <v>156.71599999999998</v>
      </c>
      <c r="M245" s="20">
        <f t="shared" si="10"/>
        <v>783.57999999999993</v>
      </c>
      <c r="N245" s="20">
        <f>Tabla1[[#This Row],[Venta Total (USD)]] - Tabla1[[#This Row],[Costo Total (USD)]]</f>
        <v>335.82000000000016</v>
      </c>
    </row>
    <row r="246" spans="1:14" x14ac:dyDescent="0.25">
      <c r="A246" t="s">
        <v>15</v>
      </c>
      <c r="B246" t="s">
        <v>28</v>
      </c>
      <c r="C246" t="s">
        <v>38</v>
      </c>
      <c r="D246">
        <v>2023</v>
      </c>
      <c r="E246">
        <v>1</v>
      </c>
      <c r="F246">
        <v>6</v>
      </c>
      <c r="G246" s="20">
        <v>156.13</v>
      </c>
      <c r="H246" s="20">
        <f>Tabla1[[#This Row],[Cantidad Vendida]]*Tabla1[[#This Row],[Precio Unitario (USD)]]</f>
        <v>936.78</v>
      </c>
      <c r="I246" s="21">
        <v>8.3800000000000008</v>
      </c>
      <c r="J246" s="5">
        <f t="shared" si="11"/>
        <v>7850.2164000000002</v>
      </c>
      <c r="K246" t="str">
        <f>IF(Tabla1[[#This Row],[Venta Total (Q)]] = 0, "Sin ventas", "Con ventas")</f>
        <v>Con ventas</v>
      </c>
      <c r="L246" s="20">
        <f t="shared" si="9"/>
        <v>109.291</v>
      </c>
      <c r="M246" s="20">
        <f t="shared" si="10"/>
        <v>655.74599999999998</v>
      </c>
      <c r="N246" s="20">
        <f>Tabla1[[#This Row],[Venta Total (USD)]] - Tabla1[[#This Row],[Costo Total (USD)]]</f>
        <v>281.03399999999999</v>
      </c>
    </row>
    <row r="247" spans="1:14" x14ac:dyDescent="0.25">
      <c r="A247" t="s">
        <v>20</v>
      </c>
      <c r="B247" t="s">
        <v>13</v>
      </c>
      <c r="C247" t="s">
        <v>36</v>
      </c>
      <c r="D247">
        <v>2022</v>
      </c>
      <c r="E247">
        <v>12</v>
      </c>
      <c r="F247">
        <v>6</v>
      </c>
      <c r="G247" s="20">
        <v>364.34</v>
      </c>
      <c r="H247" s="20">
        <f>Tabla1[[#This Row],[Cantidad Vendida]]*Tabla1[[#This Row],[Precio Unitario (USD)]]</f>
        <v>2186.04</v>
      </c>
      <c r="I247" s="21">
        <v>7.91</v>
      </c>
      <c r="J247" s="5">
        <f t="shared" si="11"/>
        <v>17291.576400000002</v>
      </c>
      <c r="K247" t="str">
        <f>IF(Tabla1[[#This Row],[Venta Total (Q)]] = 0, "Sin ventas", "Con ventas")</f>
        <v>Con ventas</v>
      </c>
      <c r="L247" s="20">
        <f t="shared" si="9"/>
        <v>255.03799999999995</v>
      </c>
      <c r="M247" s="20">
        <f t="shared" si="10"/>
        <v>1530.2279999999996</v>
      </c>
      <c r="N247" s="20">
        <f>Tabla1[[#This Row],[Venta Total (USD)]] - Tabla1[[#This Row],[Costo Total (USD)]]</f>
        <v>655.81200000000035</v>
      </c>
    </row>
    <row r="248" spans="1:14" x14ac:dyDescent="0.25">
      <c r="A248" t="s">
        <v>10</v>
      </c>
      <c r="B248" t="s">
        <v>11</v>
      </c>
      <c r="C248" t="s">
        <v>12</v>
      </c>
      <c r="D248">
        <v>2025</v>
      </c>
      <c r="E248">
        <v>12</v>
      </c>
      <c r="F248">
        <v>9</v>
      </c>
      <c r="G248" s="20">
        <v>396.77</v>
      </c>
      <c r="H248" s="20">
        <f>Tabla1[[#This Row],[Cantidad Vendida]]*Tabla1[[#This Row],[Precio Unitario (USD)]]</f>
        <v>3570.93</v>
      </c>
      <c r="I248" s="21">
        <v>8.32</v>
      </c>
      <c r="J248" s="5">
        <f t="shared" si="11"/>
        <v>29710.137599999998</v>
      </c>
      <c r="K248" t="str">
        <f>IF(Tabla1[[#This Row],[Venta Total (Q)]] = 0, "Sin ventas", "Con ventas")</f>
        <v>Con ventas</v>
      </c>
      <c r="L248" s="20">
        <f t="shared" si="9"/>
        <v>277.73899999999998</v>
      </c>
      <c r="M248" s="20">
        <f t="shared" si="10"/>
        <v>2499.6509999999998</v>
      </c>
      <c r="N248" s="20">
        <f>Tabla1[[#This Row],[Venta Total (USD)]] - Tabla1[[#This Row],[Costo Total (USD)]]</f>
        <v>1071.279</v>
      </c>
    </row>
    <row r="249" spans="1:14" x14ac:dyDescent="0.25">
      <c r="A249" t="s">
        <v>15</v>
      </c>
      <c r="B249" t="s">
        <v>11</v>
      </c>
      <c r="C249" t="s">
        <v>23</v>
      </c>
      <c r="D249">
        <v>2025</v>
      </c>
      <c r="E249">
        <v>10</v>
      </c>
      <c r="F249">
        <v>4</v>
      </c>
      <c r="G249" s="20">
        <v>412.49</v>
      </c>
      <c r="H249" s="20">
        <f>Tabla1[[#This Row],[Cantidad Vendida]]*Tabla1[[#This Row],[Precio Unitario (USD)]]</f>
        <v>1649.96</v>
      </c>
      <c r="I249" s="21">
        <v>7.72</v>
      </c>
      <c r="J249" s="5">
        <f t="shared" si="11"/>
        <v>12737.691199999999</v>
      </c>
      <c r="K249" t="str">
        <f>IF(Tabla1[[#This Row],[Venta Total (Q)]] = 0, "Sin ventas", "Con ventas")</f>
        <v>Con ventas</v>
      </c>
      <c r="L249" s="20">
        <f t="shared" si="9"/>
        <v>288.74299999999999</v>
      </c>
      <c r="M249" s="20">
        <f t="shared" si="10"/>
        <v>1154.972</v>
      </c>
      <c r="N249" s="20">
        <f>Tabla1[[#This Row],[Venta Total (USD)]] - Tabla1[[#This Row],[Costo Total (USD)]]</f>
        <v>494.98800000000006</v>
      </c>
    </row>
    <row r="250" spans="1:14" x14ac:dyDescent="0.25">
      <c r="A250" t="s">
        <v>31</v>
      </c>
      <c r="B250" t="s">
        <v>13</v>
      </c>
      <c r="C250" t="s">
        <v>14</v>
      </c>
      <c r="D250">
        <v>2024</v>
      </c>
      <c r="E250">
        <v>7</v>
      </c>
      <c r="F250">
        <v>12</v>
      </c>
      <c r="G250" s="20">
        <v>366.42</v>
      </c>
      <c r="H250" s="20">
        <f>Tabla1[[#This Row],[Cantidad Vendida]]*Tabla1[[#This Row],[Precio Unitario (USD)]]</f>
        <v>4397.04</v>
      </c>
      <c r="I250" s="21">
        <v>8.07</v>
      </c>
      <c r="J250" s="5">
        <f t="shared" si="11"/>
        <v>35484.112800000003</v>
      </c>
      <c r="K250" t="str">
        <f>IF(Tabla1[[#This Row],[Venta Total (Q)]] = 0, "Sin ventas", "Con ventas")</f>
        <v>Con ventas</v>
      </c>
      <c r="L250" s="20">
        <f t="shared" si="9"/>
        <v>256.49399999999997</v>
      </c>
      <c r="M250" s="20">
        <f t="shared" si="10"/>
        <v>3077.9279999999999</v>
      </c>
      <c r="N250" s="20">
        <f>Tabla1[[#This Row],[Venta Total (USD)]] - Tabla1[[#This Row],[Costo Total (USD)]]</f>
        <v>1319.1120000000001</v>
      </c>
    </row>
    <row r="251" spans="1:14" x14ac:dyDescent="0.25">
      <c r="A251" t="s">
        <v>35</v>
      </c>
      <c r="B251" t="s">
        <v>13</v>
      </c>
      <c r="C251" t="s">
        <v>14</v>
      </c>
      <c r="D251">
        <v>2023</v>
      </c>
      <c r="E251">
        <v>9</v>
      </c>
      <c r="F251">
        <v>13</v>
      </c>
      <c r="G251" s="20">
        <v>216.18</v>
      </c>
      <c r="H251" s="20">
        <f>Tabla1[[#This Row],[Cantidad Vendida]]*Tabla1[[#This Row],[Precio Unitario (USD)]]</f>
        <v>2810.34</v>
      </c>
      <c r="I251" s="21">
        <v>8.24</v>
      </c>
      <c r="J251" s="5">
        <f t="shared" si="11"/>
        <v>23157.2016</v>
      </c>
      <c r="K251" t="str">
        <f>IF(Tabla1[[#This Row],[Venta Total (Q)]] = 0, "Sin ventas", "Con ventas")</f>
        <v>Con ventas</v>
      </c>
      <c r="L251" s="20">
        <f t="shared" si="9"/>
        <v>151.32599999999999</v>
      </c>
      <c r="M251" s="20">
        <f t="shared" si="10"/>
        <v>1967.2379999999998</v>
      </c>
      <c r="N251" s="20">
        <f>Tabla1[[#This Row],[Venta Total (USD)]] - Tabla1[[#This Row],[Costo Total (USD)]]</f>
        <v>843.10200000000032</v>
      </c>
    </row>
    <row r="252" spans="1:14" x14ac:dyDescent="0.25">
      <c r="A252" t="s">
        <v>35</v>
      </c>
      <c r="B252" t="s">
        <v>21</v>
      </c>
      <c r="C252" t="s">
        <v>24</v>
      </c>
      <c r="D252">
        <v>2024</v>
      </c>
      <c r="E252">
        <v>8</v>
      </c>
      <c r="F252">
        <v>11</v>
      </c>
      <c r="G252" s="20">
        <v>246.62</v>
      </c>
      <c r="H252" s="20">
        <f>Tabla1[[#This Row],[Cantidad Vendida]]*Tabla1[[#This Row],[Precio Unitario (USD)]]</f>
        <v>2712.82</v>
      </c>
      <c r="I252" s="21">
        <v>8.4</v>
      </c>
      <c r="J252" s="5">
        <f t="shared" si="11"/>
        <v>22787.688000000002</v>
      </c>
      <c r="K252" t="str">
        <f>IF(Tabla1[[#This Row],[Venta Total (Q)]] = 0, "Sin ventas", "Con ventas")</f>
        <v>Con ventas</v>
      </c>
      <c r="L252" s="20">
        <f t="shared" si="9"/>
        <v>172.63399999999999</v>
      </c>
      <c r="M252" s="20">
        <f t="shared" si="10"/>
        <v>1898.9739999999999</v>
      </c>
      <c r="N252" s="20">
        <f>Tabla1[[#This Row],[Venta Total (USD)]] - Tabla1[[#This Row],[Costo Total (USD)]]</f>
        <v>813.84600000000023</v>
      </c>
    </row>
    <row r="253" spans="1:14" x14ac:dyDescent="0.25">
      <c r="A253" t="s">
        <v>10</v>
      </c>
      <c r="B253" t="s">
        <v>28</v>
      </c>
      <c r="C253" t="s">
        <v>40</v>
      </c>
      <c r="D253">
        <v>2023</v>
      </c>
      <c r="E253">
        <v>8</v>
      </c>
      <c r="F253">
        <v>14</v>
      </c>
      <c r="G253" s="20">
        <v>275.91000000000003</v>
      </c>
      <c r="H253" s="20">
        <f>Tabla1[[#This Row],[Cantidad Vendida]]*Tabla1[[#This Row],[Precio Unitario (USD)]]</f>
        <v>3862.7400000000002</v>
      </c>
      <c r="I253" s="21">
        <v>7.8</v>
      </c>
      <c r="J253" s="5">
        <f t="shared" si="11"/>
        <v>30129.371999999999</v>
      </c>
      <c r="K253" t="str">
        <f>IF(Tabla1[[#This Row],[Venta Total (Q)]] = 0, "Sin ventas", "Con ventas")</f>
        <v>Con ventas</v>
      </c>
      <c r="L253" s="20">
        <f t="shared" si="9"/>
        <v>193.137</v>
      </c>
      <c r="M253" s="20">
        <f t="shared" si="10"/>
        <v>2703.9180000000001</v>
      </c>
      <c r="N253" s="20">
        <f>Tabla1[[#This Row],[Venta Total (USD)]] - Tabla1[[#This Row],[Costo Total (USD)]]</f>
        <v>1158.8220000000001</v>
      </c>
    </row>
    <row r="254" spans="1:14" x14ac:dyDescent="0.25">
      <c r="A254" t="s">
        <v>15</v>
      </c>
      <c r="B254" t="s">
        <v>11</v>
      </c>
      <c r="C254" t="s">
        <v>25</v>
      </c>
      <c r="D254">
        <v>2022</v>
      </c>
      <c r="E254">
        <v>12</v>
      </c>
      <c r="F254">
        <v>4</v>
      </c>
      <c r="G254" s="20">
        <v>489.56</v>
      </c>
      <c r="H254" s="20">
        <f>Tabla1[[#This Row],[Cantidad Vendida]]*Tabla1[[#This Row],[Precio Unitario (USD)]]</f>
        <v>1958.24</v>
      </c>
      <c r="I254" s="21">
        <v>8.33</v>
      </c>
      <c r="J254" s="5">
        <f t="shared" si="11"/>
        <v>16312.1392</v>
      </c>
      <c r="K254" t="str">
        <f>IF(Tabla1[[#This Row],[Venta Total (Q)]] = 0, "Sin ventas", "Con ventas")</f>
        <v>Con ventas</v>
      </c>
      <c r="L254" s="20">
        <f t="shared" si="9"/>
        <v>342.69200000000001</v>
      </c>
      <c r="M254" s="20">
        <f t="shared" si="10"/>
        <v>1370.768</v>
      </c>
      <c r="N254" s="20">
        <f>Tabla1[[#This Row],[Venta Total (USD)]] - Tabla1[[#This Row],[Costo Total (USD)]]</f>
        <v>587.47199999999998</v>
      </c>
    </row>
    <row r="255" spans="1:14" x14ac:dyDescent="0.25">
      <c r="A255" t="s">
        <v>15</v>
      </c>
      <c r="B255" t="s">
        <v>21</v>
      </c>
      <c r="C255" t="s">
        <v>24</v>
      </c>
      <c r="D255">
        <v>2025</v>
      </c>
      <c r="E255">
        <v>9</v>
      </c>
      <c r="F255">
        <v>18</v>
      </c>
      <c r="G255" s="20">
        <v>230.89</v>
      </c>
      <c r="H255" s="20">
        <f>Tabla1[[#This Row],[Cantidad Vendida]]*Tabla1[[#This Row],[Precio Unitario (USD)]]</f>
        <v>4156.0199999999995</v>
      </c>
      <c r="I255" s="21">
        <v>7.86</v>
      </c>
      <c r="J255" s="5">
        <f t="shared" si="11"/>
        <v>32666.317199999998</v>
      </c>
      <c r="K255" t="str">
        <f>IF(Tabla1[[#This Row],[Venta Total (Q)]] = 0, "Sin ventas", "Con ventas")</f>
        <v>Con ventas</v>
      </c>
      <c r="L255" s="20">
        <f t="shared" si="9"/>
        <v>161.62299999999999</v>
      </c>
      <c r="M255" s="20">
        <f t="shared" si="10"/>
        <v>2909.2139999999999</v>
      </c>
      <c r="N255" s="20">
        <f>Tabla1[[#This Row],[Venta Total (USD)]] - Tabla1[[#This Row],[Costo Total (USD)]]</f>
        <v>1246.8059999999996</v>
      </c>
    </row>
    <row r="256" spans="1:14" x14ac:dyDescent="0.25">
      <c r="A256" t="s">
        <v>10</v>
      </c>
      <c r="B256" t="s">
        <v>13</v>
      </c>
      <c r="C256" t="s">
        <v>14</v>
      </c>
      <c r="D256">
        <v>2025</v>
      </c>
      <c r="E256">
        <v>6</v>
      </c>
      <c r="F256">
        <v>18</v>
      </c>
      <c r="G256" s="20">
        <v>422.42</v>
      </c>
      <c r="H256" s="20">
        <f>Tabla1[[#This Row],[Cantidad Vendida]]*Tabla1[[#This Row],[Precio Unitario (USD)]]</f>
        <v>7603.56</v>
      </c>
      <c r="I256" s="21">
        <v>7.92</v>
      </c>
      <c r="J256" s="5">
        <f t="shared" si="11"/>
        <v>60220.195200000002</v>
      </c>
      <c r="K256" t="str">
        <f>IF(Tabla1[[#This Row],[Venta Total (Q)]] = 0, "Sin ventas", "Con ventas")</f>
        <v>Con ventas</v>
      </c>
      <c r="L256" s="20">
        <f t="shared" si="9"/>
        <v>295.69400000000002</v>
      </c>
      <c r="M256" s="20">
        <f t="shared" si="10"/>
        <v>5322.4920000000002</v>
      </c>
      <c r="N256" s="20">
        <f>Tabla1[[#This Row],[Venta Total (USD)]] - Tabla1[[#This Row],[Costo Total (USD)]]</f>
        <v>2281.0680000000002</v>
      </c>
    </row>
    <row r="257" spans="1:14" x14ac:dyDescent="0.25">
      <c r="A257" t="s">
        <v>20</v>
      </c>
      <c r="B257" t="s">
        <v>28</v>
      </c>
      <c r="C257" t="s">
        <v>40</v>
      </c>
      <c r="D257">
        <v>2022</v>
      </c>
      <c r="E257">
        <v>4</v>
      </c>
      <c r="F257">
        <v>7</v>
      </c>
      <c r="G257" s="20">
        <v>308.02999999999997</v>
      </c>
      <c r="H257" s="20">
        <f>Tabla1[[#This Row],[Cantidad Vendida]]*Tabla1[[#This Row],[Precio Unitario (USD)]]</f>
        <v>2156.21</v>
      </c>
      <c r="I257" s="21">
        <v>8.42</v>
      </c>
      <c r="J257" s="5">
        <f t="shared" si="11"/>
        <v>18155.288199999999</v>
      </c>
      <c r="K257" t="str">
        <f>IF(Tabla1[[#This Row],[Venta Total (Q)]] = 0, "Sin ventas", "Con ventas")</f>
        <v>Con ventas</v>
      </c>
      <c r="L257" s="20">
        <f t="shared" si="9"/>
        <v>215.62099999999998</v>
      </c>
      <c r="M257" s="20">
        <f t="shared" si="10"/>
        <v>1509.3469999999998</v>
      </c>
      <c r="N257" s="20">
        <f>Tabla1[[#This Row],[Venta Total (USD)]] - Tabla1[[#This Row],[Costo Total (USD)]]</f>
        <v>646.86300000000028</v>
      </c>
    </row>
    <row r="258" spans="1:14" x14ac:dyDescent="0.25">
      <c r="A258" t="s">
        <v>16</v>
      </c>
      <c r="B258" t="s">
        <v>11</v>
      </c>
      <c r="C258" t="s">
        <v>37</v>
      </c>
      <c r="D258">
        <v>2025</v>
      </c>
      <c r="E258">
        <v>3</v>
      </c>
      <c r="F258">
        <v>17</v>
      </c>
      <c r="G258" s="20">
        <v>142.21</v>
      </c>
      <c r="H258" s="20">
        <f>Tabla1[[#This Row],[Cantidad Vendida]]*Tabla1[[#This Row],[Precio Unitario (USD)]]</f>
        <v>2417.5700000000002</v>
      </c>
      <c r="I258" s="21">
        <v>8.4499999999999993</v>
      </c>
      <c r="J258" s="5">
        <f t="shared" si="11"/>
        <v>20428.466499999999</v>
      </c>
      <c r="K258" t="str">
        <f>IF(Tabla1[[#This Row],[Venta Total (Q)]] = 0, "Sin ventas", "Con ventas")</f>
        <v>Con ventas</v>
      </c>
      <c r="L258" s="20">
        <f t="shared" ref="L258:L321" si="12">IF(G258&gt;0, G258*0.7, "")</f>
        <v>99.546999999999997</v>
      </c>
      <c r="M258" s="20">
        <f t="shared" ref="M258:M321" si="13">F258 * L258</f>
        <v>1692.299</v>
      </c>
      <c r="N258" s="20">
        <f>Tabla1[[#This Row],[Venta Total (USD)]] - Tabla1[[#This Row],[Costo Total (USD)]]</f>
        <v>725.27100000000019</v>
      </c>
    </row>
    <row r="259" spans="1:14" x14ac:dyDescent="0.25">
      <c r="A259" t="s">
        <v>16</v>
      </c>
      <c r="B259" t="s">
        <v>13</v>
      </c>
      <c r="C259" t="s">
        <v>14</v>
      </c>
      <c r="D259">
        <v>2025</v>
      </c>
      <c r="E259">
        <v>12</v>
      </c>
      <c r="F259">
        <v>4</v>
      </c>
      <c r="G259" s="20">
        <v>124.67</v>
      </c>
      <c r="H259" s="20">
        <f>Tabla1[[#This Row],[Cantidad Vendida]]*Tabla1[[#This Row],[Precio Unitario (USD)]]</f>
        <v>498.68</v>
      </c>
      <c r="I259" s="21">
        <v>8.39</v>
      </c>
      <c r="J259" s="5">
        <f t="shared" ref="J259:J322" si="14">H259 * I259</f>
        <v>4183.9252000000006</v>
      </c>
      <c r="K259" t="str">
        <f>IF(Tabla1[[#This Row],[Venta Total (Q)]] = 0, "Sin ventas", "Con ventas")</f>
        <v>Con ventas</v>
      </c>
      <c r="L259" s="20">
        <f t="shared" si="12"/>
        <v>87.268999999999991</v>
      </c>
      <c r="M259" s="20">
        <f t="shared" si="13"/>
        <v>349.07599999999996</v>
      </c>
      <c r="N259" s="20">
        <f>Tabla1[[#This Row],[Venta Total (USD)]] - Tabla1[[#This Row],[Costo Total (USD)]]</f>
        <v>149.60400000000004</v>
      </c>
    </row>
    <row r="260" spans="1:14" x14ac:dyDescent="0.25">
      <c r="A260" t="s">
        <v>31</v>
      </c>
      <c r="B260" t="s">
        <v>28</v>
      </c>
      <c r="C260" t="s">
        <v>38</v>
      </c>
      <c r="D260">
        <v>2022</v>
      </c>
      <c r="E260">
        <v>5</v>
      </c>
      <c r="F260">
        <v>7</v>
      </c>
      <c r="G260" s="20">
        <v>450.42</v>
      </c>
      <c r="H260" s="20">
        <f>Tabla1[[#This Row],[Cantidad Vendida]]*Tabla1[[#This Row],[Precio Unitario (USD)]]</f>
        <v>3152.94</v>
      </c>
      <c r="I260" s="21">
        <v>8.2899999999999991</v>
      </c>
      <c r="J260" s="5">
        <f t="shared" si="14"/>
        <v>26137.872599999999</v>
      </c>
      <c r="K260" t="str">
        <f>IF(Tabla1[[#This Row],[Venta Total (Q)]] = 0, "Sin ventas", "Con ventas")</f>
        <v>Con ventas</v>
      </c>
      <c r="L260" s="20">
        <f t="shared" si="12"/>
        <v>315.29399999999998</v>
      </c>
      <c r="M260" s="20">
        <f t="shared" si="13"/>
        <v>2207.058</v>
      </c>
      <c r="N260" s="20">
        <f>Tabla1[[#This Row],[Venta Total (USD)]] - Tabla1[[#This Row],[Costo Total (USD)]]</f>
        <v>945.88200000000006</v>
      </c>
    </row>
    <row r="261" spans="1:14" x14ac:dyDescent="0.25">
      <c r="A261" t="s">
        <v>31</v>
      </c>
      <c r="B261" t="s">
        <v>21</v>
      </c>
      <c r="C261" t="s">
        <v>22</v>
      </c>
      <c r="D261">
        <v>2023</v>
      </c>
      <c r="E261">
        <v>5</v>
      </c>
      <c r="F261">
        <v>4</v>
      </c>
      <c r="G261" s="20">
        <v>92.51</v>
      </c>
      <c r="H261" s="20">
        <f>Tabla1[[#This Row],[Cantidad Vendida]]*Tabla1[[#This Row],[Precio Unitario (USD)]]</f>
        <v>370.04</v>
      </c>
      <c r="I261" s="21">
        <v>7.51</v>
      </c>
      <c r="J261" s="5">
        <f t="shared" si="14"/>
        <v>2779.0003999999999</v>
      </c>
      <c r="K261" t="str">
        <f>IF(Tabla1[[#This Row],[Venta Total (Q)]] = 0, "Sin ventas", "Con ventas")</f>
        <v>Con ventas</v>
      </c>
      <c r="L261" s="20">
        <f t="shared" si="12"/>
        <v>64.757000000000005</v>
      </c>
      <c r="M261" s="20">
        <f t="shared" si="13"/>
        <v>259.02800000000002</v>
      </c>
      <c r="N261" s="20">
        <f>Tabla1[[#This Row],[Venta Total (USD)]] - Tabla1[[#This Row],[Costo Total (USD)]]</f>
        <v>111.012</v>
      </c>
    </row>
    <row r="262" spans="1:14" x14ac:dyDescent="0.25">
      <c r="A262" t="s">
        <v>16</v>
      </c>
      <c r="B262" t="s">
        <v>17</v>
      </c>
      <c r="C262" t="s">
        <v>19</v>
      </c>
      <c r="D262">
        <v>2023</v>
      </c>
      <c r="E262">
        <v>8</v>
      </c>
      <c r="F262">
        <v>3</v>
      </c>
      <c r="G262" s="20">
        <v>53.48</v>
      </c>
      <c r="H262" s="20">
        <f>Tabla1[[#This Row],[Cantidad Vendida]]*Tabla1[[#This Row],[Precio Unitario (USD)]]</f>
        <v>160.44</v>
      </c>
      <c r="I262" s="21">
        <v>8.35</v>
      </c>
      <c r="J262" s="5">
        <f t="shared" si="14"/>
        <v>1339.674</v>
      </c>
      <c r="K262" t="str">
        <f>IF(Tabla1[[#This Row],[Venta Total (Q)]] = 0, "Sin ventas", "Con ventas")</f>
        <v>Con ventas</v>
      </c>
      <c r="L262" s="20">
        <f t="shared" si="12"/>
        <v>37.435999999999993</v>
      </c>
      <c r="M262" s="20">
        <f t="shared" si="13"/>
        <v>112.30799999999998</v>
      </c>
      <c r="N262" s="20">
        <f>Tabla1[[#This Row],[Venta Total (USD)]] - Tabla1[[#This Row],[Costo Total (USD)]]</f>
        <v>48.132000000000019</v>
      </c>
    </row>
    <row r="263" spans="1:14" x14ac:dyDescent="0.25">
      <c r="A263" t="s">
        <v>15</v>
      </c>
      <c r="B263" t="s">
        <v>13</v>
      </c>
      <c r="C263" t="s">
        <v>36</v>
      </c>
      <c r="D263">
        <v>2022</v>
      </c>
      <c r="E263">
        <v>7</v>
      </c>
      <c r="F263">
        <v>13</v>
      </c>
      <c r="G263" s="20">
        <v>300.33999999999997</v>
      </c>
      <c r="H263" s="20">
        <f>Tabla1[[#This Row],[Cantidad Vendida]]*Tabla1[[#This Row],[Precio Unitario (USD)]]</f>
        <v>3904.4199999999996</v>
      </c>
      <c r="I263" s="21">
        <v>7.66</v>
      </c>
      <c r="J263" s="5">
        <f t="shared" si="14"/>
        <v>29907.857199999999</v>
      </c>
      <c r="K263" t="str">
        <f>IF(Tabla1[[#This Row],[Venta Total (Q)]] = 0, "Sin ventas", "Con ventas")</f>
        <v>Con ventas</v>
      </c>
      <c r="L263" s="20">
        <f t="shared" si="12"/>
        <v>210.23799999999997</v>
      </c>
      <c r="M263" s="20">
        <f t="shared" si="13"/>
        <v>2733.0939999999996</v>
      </c>
      <c r="N263" s="20">
        <f>Tabla1[[#This Row],[Venta Total (USD)]] - Tabla1[[#This Row],[Costo Total (USD)]]</f>
        <v>1171.326</v>
      </c>
    </row>
    <row r="264" spans="1:14" x14ac:dyDescent="0.25">
      <c r="A264" t="s">
        <v>10</v>
      </c>
      <c r="B264" t="s">
        <v>11</v>
      </c>
      <c r="C264" t="s">
        <v>37</v>
      </c>
      <c r="D264">
        <v>2022</v>
      </c>
      <c r="E264">
        <v>2</v>
      </c>
      <c r="F264">
        <v>3</v>
      </c>
      <c r="G264" s="20">
        <v>89.29</v>
      </c>
      <c r="H264" s="20">
        <f>Tabla1[[#This Row],[Cantidad Vendida]]*Tabla1[[#This Row],[Precio Unitario (USD)]]</f>
        <v>267.87</v>
      </c>
      <c r="I264" s="21">
        <v>8.25</v>
      </c>
      <c r="J264" s="5">
        <f t="shared" si="14"/>
        <v>2209.9275000000002</v>
      </c>
      <c r="K264" t="str">
        <f>IF(Tabla1[[#This Row],[Venta Total (Q)]] = 0, "Sin ventas", "Con ventas")</f>
        <v>Con ventas</v>
      </c>
      <c r="L264" s="20">
        <f t="shared" si="12"/>
        <v>62.503</v>
      </c>
      <c r="M264" s="20">
        <f t="shared" si="13"/>
        <v>187.50900000000001</v>
      </c>
      <c r="N264" s="20">
        <f>Tabla1[[#This Row],[Venta Total (USD)]] - Tabla1[[#This Row],[Costo Total (USD)]]</f>
        <v>80.36099999999999</v>
      </c>
    </row>
    <row r="265" spans="1:14" x14ac:dyDescent="0.25">
      <c r="A265" t="s">
        <v>10</v>
      </c>
      <c r="B265" t="s">
        <v>13</v>
      </c>
      <c r="C265" t="s">
        <v>14</v>
      </c>
      <c r="D265">
        <v>2023</v>
      </c>
      <c r="E265">
        <v>9</v>
      </c>
      <c r="F265">
        <v>18</v>
      </c>
      <c r="G265" s="20">
        <v>293.33999999999997</v>
      </c>
      <c r="H265" s="20">
        <f>Tabla1[[#This Row],[Cantidad Vendida]]*Tabla1[[#This Row],[Precio Unitario (USD)]]</f>
        <v>5280.12</v>
      </c>
      <c r="I265" s="21">
        <v>7.89</v>
      </c>
      <c r="J265" s="5">
        <f t="shared" si="14"/>
        <v>41660.146799999995</v>
      </c>
      <c r="K265" t="str">
        <f>IF(Tabla1[[#This Row],[Venta Total (Q)]] = 0, "Sin ventas", "Con ventas")</f>
        <v>Con ventas</v>
      </c>
      <c r="L265" s="20">
        <f t="shared" si="12"/>
        <v>205.33799999999997</v>
      </c>
      <c r="M265" s="20">
        <f t="shared" si="13"/>
        <v>3696.0839999999994</v>
      </c>
      <c r="N265" s="20">
        <f>Tabla1[[#This Row],[Venta Total (USD)]] - Tabla1[[#This Row],[Costo Total (USD)]]</f>
        <v>1584.0360000000005</v>
      </c>
    </row>
    <row r="266" spans="1:14" x14ac:dyDescent="0.25">
      <c r="A266" t="s">
        <v>15</v>
      </c>
      <c r="B266" t="s">
        <v>21</v>
      </c>
      <c r="C266" t="s">
        <v>22</v>
      </c>
      <c r="D266">
        <v>2025</v>
      </c>
      <c r="E266">
        <v>10</v>
      </c>
      <c r="F266">
        <v>11</v>
      </c>
      <c r="G266" s="20">
        <v>185.57</v>
      </c>
      <c r="H266" s="20">
        <f>Tabla1[[#This Row],[Cantidad Vendida]]*Tabla1[[#This Row],[Precio Unitario (USD)]]</f>
        <v>2041.27</v>
      </c>
      <c r="I266" s="21">
        <v>8.49</v>
      </c>
      <c r="J266" s="5">
        <f t="shared" si="14"/>
        <v>17330.382300000001</v>
      </c>
      <c r="K266" t="str">
        <f>IF(Tabla1[[#This Row],[Venta Total (Q)]] = 0, "Sin ventas", "Con ventas")</f>
        <v>Con ventas</v>
      </c>
      <c r="L266" s="20">
        <f t="shared" si="12"/>
        <v>129.899</v>
      </c>
      <c r="M266" s="20">
        <f t="shared" si="13"/>
        <v>1428.8890000000001</v>
      </c>
      <c r="N266" s="20">
        <f>Tabla1[[#This Row],[Venta Total (USD)]] - Tabla1[[#This Row],[Costo Total (USD)]]</f>
        <v>612.38099999999986</v>
      </c>
    </row>
    <row r="267" spans="1:14" x14ac:dyDescent="0.25">
      <c r="A267" t="s">
        <v>20</v>
      </c>
      <c r="B267" t="s">
        <v>21</v>
      </c>
      <c r="C267" t="s">
        <v>32</v>
      </c>
      <c r="D267">
        <v>2024</v>
      </c>
      <c r="E267">
        <v>10</v>
      </c>
      <c r="F267">
        <v>20</v>
      </c>
      <c r="G267" s="20">
        <v>177.17</v>
      </c>
      <c r="H267" s="20">
        <f>Tabla1[[#This Row],[Cantidad Vendida]]*Tabla1[[#This Row],[Precio Unitario (USD)]]</f>
        <v>3543.3999999999996</v>
      </c>
      <c r="I267" s="21">
        <v>7.86</v>
      </c>
      <c r="J267" s="5">
        <f t="shared" si="14"/>
        <v>27851.124</v>
      </c>
      <c r="K267" t="str">
        <f>IF(Tabla1[[#This Row],[Venta Total (Q)]] = 0, "Sin ventas", "Con ventas")</f>
        <v>Con ventas</v>
      </c>
      <c r="L267" s="20">
        <f t="shared" si="12"/>
        <v>124.01899999999998</v>
      </c>
      <c r="M267" s="20">
        <f t="shared" si="13"/>
        <v>2480.3799999999997</v>
      </c>
      <c r="N267" s="20">
        <f>Tabla1[[#This Row],[Venta Total (USD)]] - Tabla1[[#This Row],[Costo Total (USD)]]</f>
        <v>1063.02</v>
      </c>
    </row>
    <row r="268" spans="1:14" x14ac:dyDescent="0.25">
      <c r="A268" t="s">
        <v>31</v>
      </c>
      <c r="B268" t="s">
        <v>17</v>
      </c>
      <c r="C268" t="s">
        <v>19</v>
      </c>
      <c r="D268">
        <v>2024</v>
      </c>
      <c r="E268">
        <v>11</v>
      </c>
      <c r="F268">
        <v>9</v>
      </c>
      <c r="G268" s="20">
        <v>199.78</v>
      </c>
      <c r="H268" s="20">
        <f>Tabla1[[#This Row],[Cantidad Vendida]]*Tabla1[[#This Row],[Precio Unitario (USD)]]</f>
        <v>1798.02</v>
      </c>
      <c r="I268" s="21">
        <v>7.91</v>
      </c>
      <c r="J268" s="5">
        <f t="shared" si="14"/>
        <v>14222.3382</v>
      </c>
      <c r="K268" t="str">
        <f>IF(Tabla1[[#This Row],[Venta Total (Q)]] = 0, "Sin ventas", "Con ventas")</f>
        <v>Con ventas</v>
      </c>
      <c r="L268" s="20">
        <f t="shared" si="12"/>
        <v>139.846</v>
      </c>
      <c r="M268" s="20">
        <f t="shared" si="13"/>
        <v>1258.614</v>
      </c>
      <c r="N268" s="20">
        <f>Tabla1[[#This Row],[Venta Total (USD)]] - Tabla1[[#This Row],[Costo Total (USD)]]</f>
        <v>539.40599999999995</v>
      </c>
    </row>
    <row r="269" spans="1:14" x14ac:dyDescent="0.25">
      <c r="A269" t="s">
        <v>15</v>
      </c>
      <c r="B269" t="s">
        <v>17</v>
      </c>
      <c r="C269" t="s">
        <v>18</v>
      </c>
      <c r="D269">
        <v>2025</v>
      </c>
      <c r="E269">
        <v>2</v>
      </c>
      <c r="F269">
        <v>14</v>
      </c>
      <c r="G269" s="20">
        <v>356.82</v>
      </c>
      <c r="H269" s="20">
        <f>Tabla1[[#This Row],[Cantidad Vendida]]*Tabla1[[#This Row],[Precio Unitario (USD)]]</f>
        <v>4995.4799999999996</v>
      </c>
      <c r="I269" s="21">
        <v>7.66</v>
      </c>
      <c r="J269" s="5">
        <f t="shared" si="14"/>
        <v>38265.376799999998</v>
      </c>
      <c r="K269" t="str">
        <f>IF(Tabla1[[#This Row],[Venta Total (Q)]] = 0, "Sin ventas", "Con ventas")</f>
        <v>Con ventas</v>
      </c>
      <c r="L269" s="20">
        <f t="shared" si="12"/>
        <v>249.77399999999997</v>
      </c>
      <c r="M269" s="20">
        <f t="shared" si="13"/>
        <v>3496.8359999999998</v>
      </c>
      <c r="N269" s="20">
        <f>Tabla1[[#This Row],[Venta Total (USD)]] - Tabla1[[#This Row],[Costo Total (USD)]]</f>
        <v>1498.6439999999998</v>
      </c>
    </row>
    <row r="270" spans="1:14" x14ac:dyDescent="0.25">
      <c r="A270" t="s">
        <v>10</v>
      </c>
      <c r="B270" t="s">
        <v>11</v>
      </c>
      <c r="C270" t="s">
        <v>25</v>
      </c>
      <c r="D270">
        <v>2025</v>
      </c>
      <c r="E270">
        <v>7</v>
      </c>
      <c r="F270">
        <v>14</v>
      </c>
      <c r="G270" s="20">
        <v>460.2</v>
      </c>
      <c r="H270" s="20">
        <f>Tabla1[[#This Row],[Cantidad Vendida]]*Tabla1[[#This Row],[Precio Unitario (USD)]]</f>
        <v>6442.8</v>
      </c>
      <c r="I270" s="21">
        <v>7.5</v>
      </c>
      <c r="J270" s="5">
        <f t="shared" si="14"/>
        <v>48321</v>
      </c>
      <c r="K270" t="str">
        <f>IF(Tabla1[[#This Row],[Venta Total (Q)]] = 0, "Sin ventas", "Con ventas")</f>
        <v>Con ventas</v>
      </c>
      <c r="L270" s="20">
        <f t="shared" si="12"/>
        <v>322.14</v>
      </c>
      <c r="M270" s="20">
        <f t="shared" si="13"/>
        <v>4509.96</v>
      </c>
      <c r="N270" s="20">
        <f>Tabla1[[#This Row],[Venta Total (USD)]] - Tabla1[[#This Row],[Costo Total (USD)]]</f>
        <v>1932.8400000000001</v>
      </c>
    </row>
    <row r="271" spans="1:14" x14ac:dyDescent="0.25">
      <c r="A271" t="s">
        <v>16</v>
      </c>
      <c r="B271" t="s">
        <v>13</v>
      </c>
      <c r="C271" t="s">
        <v>27</v>
      </c>
      <c r="D271">
        <v>2025</v>
      </c>
      <c r="E271">
        <v>1</v>
      </c>
      <c r="F271">
        <v>3</v>
      </c>
      <c r="G271" s="20">
        <v>110.48</v>
      </c>
      <c r="H271" s="20">
        <f>Tabla1[[#This Row],[Cantidad Vendida]]*Tabla1[[#This Row],[Precio Unitario (USD)]]</f>
        <v>331.44</v>
      </c>
      <c r="I271" s="21">
        <v>8.2899999999999991</v>
      </c>
      <c r="J271" s="5">
        <f t="shared" si="14"/>
        <v>2747.6375999999996</v>
      </c>
      <c r="K271" t="str">
        <f>IF(Tabla1[[#This Row],[Venta Total (Q)]] = 0, "Sin ventas", "Con ventas")</f>
        <v>Con ventas</v>
      </c>
      <c r="L271" s="20">
        <f t="shared" si="12"/>
        <v>77.335999999999999</v>
      </c>
      <c r="M271" s="20">
        <f t="shared" si="13"/>
        <v>232.00799999999998</v>
      </c>
      <c r="N271" s="20">
        <f>Tabla1[[#This Row],[Venta Total (USD)]] - Tabla1[[#This Row],[Costo Total (USD)]]</f>
        <v>99.432000000000016</v>
      </c>
    </row>
    <row r="272" spans="1:14" x14ac:dyDescent="0.25">
      <c r="A272" t="s">
        <v>31</v>
      </c>
      <c r="B272" t="s">
        <v>17</v>
      </c>
      <c r="C272" t="s">
        <v>19</v>
      </c>
      <c r="D272">
        <v>2025</v>
      </c>
      <c r="E272">
        <v>11</v>
      </c>
      <c r="F272">
        <v>5</v>
      </c>
      <c r="G272" s="20">
        <v>195.89</v>
      </c>
      <c r="H272" s="20">
        <f>Tabla1[[#This Row],[Cantidad Vendida]]*Tabla1[[#This Row],[Precio Unitario (USD)]]</f>
        <v>979.44999999999993</v>
      </c>
      <c r="I272" s="21">
        <v>7.92</v>
      </c>
      <c r="J272" s="5">
        <f t="shared" si="14"/>
        <v>7757.2439999999997</v>
      </c>
      <c r="K272" t="str">
        <f>IF(Tabla1[[#This Row],[Venta Total (Q)]] = 0, "Sin ventas", "Con ventas")</f>
        <v>Con ventas</v>
      </c>
      <c r="L272" s="20">
        <f t="shared" si="12"/>
        <v>137.12299999999999</v>
      </c>
      <c r="M272" s="20">
        <f t="shared" si="13"/>
        <v>685.61500000000001</v>
      </c>
      <c r="N272" s="20">
        <f>Tabla1[[#This Row],[Venta Total (USD)]] - Tabla1[[#This Row],[Costo Total (USD)]]</f>
        <v>293.83499999999992</v>
      </c>
    </row>
    <row r="273" spans="1:14" x14ac:dyDescent="0.25">
      <c r="A273" t="s">
        <v>10</v>
      </c>
      <c r="B273" t="s">
        <v>21</v>
      </c>
      <c r="C273" t="s">
        <v>32</v>
      </c>
      <c r="D273">
        <v>2023</v>
      </c>
      <c r="E273">
        <v>1</v>
      </c>
      <c r="F273">
        <v>9</v>
      </c>
      <c r="G273" s="20">
        <v>442.95</v>
      </c>
      <c r="H273" s="20">
        <f>Tabla1[[#This Row],[Cantidad Vendida]]*Tabla1[[#This Row],[Precio Unitario (USD)]]</f>
        <v>3986.5499999999997</v>
      </c>
      <c r="I273" s="21">
        <v>7.89</v>
      </c>
      <c r="J273" s="5">
        <f t="shared" si="14"/>
        <v>31453.879499999995</v>
      </c>
      <c r="K273" t="str">
        <f>IF(Tabla1[[#This Row],[Venta Total (Q)]] = 0, "Sin ventas", "Con ventas")</f>
        <v>Con ventas</v>
      </c>
      <c r="L273" s="20">
        <f t="shared" si="12"/>
        <v>310.065</v>
      </c>
      <c r="M273" s="20">
        <f t="shared" si="13"/>
        <v>2790.585</v>
      </c>
      <c r="N273" s="20">
        <f>Tabla1[[#This Row],[Venta Total (USD)]] - Tabla1[[#This Row],[Costo Total (USD)]]</f>
        <v>1195.9649999999997</v>
      </c>
    </row>
    <row r="274" spans="1:14" x14ac:dyDescent="0.25">
      <c r="A274" t="s">
        <v>10</v>
      </c>
      <c r="B274" t="s">
        <v>17</v>
      </c>
      <c r="C274" t="s">
        <v>19</v>
      </c>
      <c r="D274">
        <v>2023</v>
      </c>
      <c r="E274">
        <v>3</v>
      </c>
      <c r="F274">
        <v>10</v>
      </c>
      <c r="G274" s="20">
        <v>98.3</v>
      </c>
      <c r="H274" s="20">
        <f>Tabla1[[#This Row],[Cantidad Vendida]]*Tabla1[[#This Row],[Precio Unitario (USD)]]</f>
        <v>983</v>
      </c>
      <c r="I274" s="21">
        <v>7.69</v>
      </c>
      <c r="J274" s="5">
        <f t="shared" si="14"/>
        <v>7559.27</v>
      </c>
      <c r="K274" t="str">
        <f>IF(Tabla1[[#This Row],[Venta Total (Q)]] = 0, "Sin ventas", "Con ventas")</f>
        <v>Con ventas</v>
      </c>
      <c r="L274" s="20">
        <f t="shared" si="12"/>
        <v>68.809999999999988</v>
      </c>
      <c r="M274" s="20">
        <f t="shared" si="13"/>
        <v>688.09999999999991</v>
      </c>
      <c r="N274" s="20">
        <f>Tabla1[[#This Row],[Venta Total (USD)]] - Tabla1[[#This Row],[Costo Total (USD)]]</f>
        <v>294.90000000000009</v>
      </c>
    </row>
    <row r="275" spans="1:14" x14ac:dyDescent="0.25">
      <c r="A275" t="s">
        <v>35</v>
      </c>
      <c r="B275" t="s">
        <v>11</v>
      </c>
      <c r="C275" t="s">
        <v>37</v>
      </c>
      <c r="D275">
        <v>2025</v>
      </c>
      <c r="E275">
        <v>1</v>
      </c>
      <c r="F275">
        <v>2</v>
      </c>
      <c r="G275" s="20">
        <v>82.36</v>
      </c>
      <c r="H275" s="20">
        <f>Tabla1[[#This Row],[Cantidad Vendida]]*Tabla1[[#This Row],[Precio Unitario (USD)]]</f>
        <v>164.72</v>
      </c>
      <c r="I275" s="21">
        <v>8.16</v>
      </c>
      <c r="J275" s="5">
        <f t="shared" si="14"/>
        <v>1344.1152</v>
      </c>
      <c r="K275" t="str">
        <f>IF(Tabla1[[#This Row],[Venta Total (Q)]] = 0, "Sin ventas", "Con ventas")</f>
        <v>Con ventas</v>
      </c>
      <c r="L275" s="20">
        <f t="shared" si="12"/>
        <v>57.651999999999994</v>
      </c>
      <c r="M275" s="20">
        <f t="shared" si="13"/>
        <v>115.30399999999999</v>
      </c>
      <c r="N275" s="20">
        <f>Tabla1[[#This Row],[Venta Total (USD)]] - Tabla1[[#This Row],[Costo Total (USD)]]</f>
        <v>49.416000000000011</v>
      </c>
    </row>
    <row r="276" spans="1:14" x14ac:dyDescent="0.25">
      <c r="A276" t="s">
        <v>35</v>
      </c>
      <c r="B276" t="s">
        <v>17</v>
      </c>
      <c r="C276" t="s">
        <v>26</v>
      </c>
      <c r="D276">
        <v>2022</v>
      </c>
      <c r="E276">
        <v>3</v>
      </c>
      <c r="F276">
        <v>5</v>
      </c>
      <c r="G276" s="20">
        <v>213.47</v>
      </c>
      <c r="H276" s="20">
        <f>Tabla1[[#This Row],[Cantidad Vendida]]*Tabla1[[#This Row],[Precio Unitario (USD)]]</f>
        <v>1067.3499999999999</v>
      </c>
      <c r="I276" s="21">
        <v>7.85</v>
      </c>
      <c r="J276" s="5">
        <f t="shared" si="14"/>
        <v>8378.6974999999984</v>
      </c>
      <c r="K276" t="str">
        <f>IF(Tabla1[[#This Row],[Venta Total (Q)]] = 0, "Sin ventas", "Con ventas")</f>
        <v>Con ventas</v>
      </c>
      <c r="L276" s="20">
        <f t="shared" si="12"/>
        <v>149.429</v>
      </c>
      <c r="M276" s="20">
        <f t="shared" si="13"/>
        <v>747.14499999999998</v>
      </c>
      <c r="N276" s="20">
        <f>Tabla1[[#This Row],[Venta Total (USD)]] - Tabla1[[#This Row],[Costo Total (USD)]]</f>
        <v>320.20499999999993</v>
      </c>
    </row>
    <row r="277" spans="1:14" x14ac:dyDescent="0.25">
      <c r="A277" t="s">
        <v>35</v>
      </c>
      <c r="B277" t="s">
        <v>17</v>
      </c>
      <c r="C277" t="s">
        <v>26</v>
      </c>
      <c r="D277">
        <v>2022</v>
      </c>
      <c r="E277">
        <v>2</v>
      </c>
      <c r="F277">
        <v>20</v>
      </c>
      <c r="G277" s="20">
        <v>314.06</v>
      </c>
      <c r="H277" s="20">
        <f>Tabla1[[#This Row],[Cantidad Vendida]]*Tabla1[[#This Row],[Precio Unitario (USD)]]</f>
        <v>6281.2</v>
      </c>
      <c r="I277" s="21">
        <v>7.9</v>
      </c>
      <c r="J277" s="5">
        <f t="shared" si="14"/>
        <v>49621.48</v>
      </c>
      <c r="K277" t="str">
        <f>IF(Tabla1[[#This Row],[Venta Total (Q)]] = 0, "Sin ventas", "Con ventas")</f>
        <v>Con ventas</v>
      </c>
      <c r="L277" s="20">
        <f t="shared" si="12"/>
        <v>219.84199999999998</v>
      </c>
      <c r="M277" s="20">
        <f t="shared" si="13"/>
        <v>4396.84</v>
      </c>
      <c r="N277" s="20">
        <f>Tabla1[[#This Row],[Venta Total (USD)]] - Tabla1[[#This Row],[Costo Total (USD)]]</f>
        <v>1884.3599999999997</v>
      </c>
    </row>
    <row r="278" spans="1:14" x14ac:dyDescent="0.25">
      <c r="A278" t="s">
        <v>10</v>
      </c>
      <c r="B278" t="s">
        <v>11</v>
      </c>
      <c r="C278" t="s">
        <v>12</v>
      </c>
      <c r="D278">
        <v>2023</v>
      </c>
      <c r="E278">
        <v>6</v>
      </c>
      <c r="F278">
        <v>12</v>
      </c>
      <c r="G278" s="20">
        <v>97.86</v>
      </c>
      <c r="H278" s="20">
        <f>Tabla1[[#This Row],[Cantidad Vendida]]*Tabla1[[#This Row],[Precio Unitario (USD)]]</f>
        <v>1174.32</v>
      </c>
      <c r="I278" s="21">
        <v>8.18</v>
      </c>
      <c r="J278" s="5">
        <f t="shared" si="14"/>
        <v>9605.9375999999993</v>
      </c>
      <c r="K278" t="str">
        <f>IF(Tabla1[[#This Row],[Venta Total (Q)]] = 0, "Sin ventas", "Con ventas")</f>
        <v>Con ventas</v>
      </c>
      <c r="L278" s="20">
        <f t="shared" si="12"/>
        <v>68.501999999999995</v>
      </c>
      <c r="M278" s="20">
        <f t="shared" si="13"/>
        <v>822.02399999999989</v>
      </c>
      <c r="N278" s="20">
        <f>Tabla1[[#This Row],[Venta Total (USD)]] - Tabla1[[#This Row],[Costo Total (USD)]]</f>
        <v>352.29600000000005</v>
      </c>
    </row>
    <row r="279" spans="1:14" x14ac:dyDescent="0.25">
      <c r="A279" t="s">
        <v>15</v>
      </c>
      <c r="B279" t="s">
        <v>13</v>
      </c>
      <c r="C279" t="s">
        <v>27</v>
      </c>
      <c r="D279">
        <v>2025</v>
      </c>
      <c r="E279">
        <v>10</v>
      </c>
      <c r="F279">
        <v>12</v>
      </c>
      <c r="G279" s="20">
        <v>195.46</v>
      </c>
      <c r="H279" s="20">
        <f>Tabla1[[#This Row],[Cantidad Vendida]]*Tabla1[[#This Row],[Precio Unitario (USD)]]</f>
        <v>2345.52</v>
      </c>
      <c r="I279" s="21">
        <v>8.4600000000000009</v>
      </c>
      <c r="J279" s="5">
        <f t="shared" si="14"/>
        <v>19843.099200000001</v>
      </c>
      <c r="K279" t="str">
        <f>IF(Tabla1[[#This Row],[Venta Total (Q)]] = 0, "Sin ventas", "Con ventas")</f>
        <v>Con ventas</v>
      </c>
      <c r="L279" s="20">
        <f t="shared" si="12"/>
        <v>136.822</v>
      </c>
      <c r="M279" s="20">
        <f t="shared" si="13"/>
        <v>1641.864</v>
      </c>
      <c r="N279" s="20">
        <f>Tabla1[[#This Row],[Venta Total (USD)]] - Tabla1[[#This Row],[Costo Total (USD)]]</f>
        <v>703.65599999999995</v>
      </c>
    </row>
    <row r="280" spans="1:14" x14ac:dyDescent="0.25">
      <c r="A280" t="s">
        <v>31</v>
      </c>
      <c r="B280" t="s">
        <v>17</v>
      </c>
      <c r="C280" t="s">
        <v>19</v>
      </c>
      <c r="D280">
        <v>2025</v>
      </c>
      <c r="E280">
        <v>9</v>
      </c>
      <c r="F280">
        <v>6</v>
      </c>
      <c r="G280" s="20">
        <v>326.66000000000003</v>
      </c>
      <c r="H280" s="20">
        <f>Tabla1[[#This Row],[Cantidad Vendida]]*Tabla1[[#This Row],[Precio Unitario (USD)]]</f>
        <v>1959.96</v>
      </c>
      <c r="I280" s="21">
        <v>8.2200000000000006</v>
      </c>
      <c r="J280" s="5">
        <f t="shared" si="14"/>
        <v>16110.871200000001</v>
      </c>
      <c r="K280" t="str">
        <f>IF(Tabla1[[#This Row],[Venta Total (Q)]] = 0, "Sin ventas", "Con ventas")</f>
        <v>Con ventas</v>
      </c>
      <c r="L280" s="20">
        <f t="shared" si="12"/>
        <v>228.66200000000001</v>
      </c>
      <c r="M280" s="20">
        <f t="shared" si="13"/>
        <v>1371.972</v>
      </c>
      <c r="N280" s="20">
        <f>Tabla1[[#This Row],[Venta Total (USD)]] - Tabla1[[#This Row],[Costo Total (USD)]]</f>
        <v>587.98800000000006</v>
      </c>
    </row>
    <row r="281" spans="1:14" x14ac:dyDescent="0.25">
      <c r="A281" t="s">
        <v>15</v>
      </c>
      <c r="B281" t="s">
        <v>17</v>
      </c>
      <c r="C281" t="s">
        <v>33</v>
      </c>
      <c r="D281">
        <v>2023</v>
      </c>
      <c r="E281">
        <v>6</v>
      </c>
      <c r="F281">
        <v>12</v>
      </c>
      <c r="G281" s="20">
        <v>103.75</v>
      </c>
      <c r="H281" s="20">
        <f>Tabla1[[#This Row],[Cantidad Vendida]]*Tabla1[[#This Row],[Precio Unitario (USD)]]</f>
        <v>1245</v>
      </c>
      <c r="I281" s="21">
        <v>7.71</v>
      </c>
      <c r="J281" s="5">
        <f t="shared" si="14"/>
        <v>9598.9500000000007</v>
      </c>
      <c r="K281" t="str">
        <f>IF(Tabla1[[#This Row],[Venta Total (Q)]] = 0, "Sin ventas", "Con ventas")</f>
        <v>Con ventas</v>
      </c>
      <c r="L281" s="20">
        <f t="shared" si="12"/>
        <v>72.625</v>
      </c>
      <c r="M281" s="20">
        <f t="shared" si="13"/>
        <v>871.5</v>
      </c>
      <c r="N281" s="20">
        <f>Tabla1[[#This Row],[Venta Total (USD)]] - Tabla1[[#This Row],[Costo Total (USD)]]</f>
        <v>373.5</v>
      </c>
    </row>
    <row r="282" spans="1:14" x14ac:dyDescent="0.25">
      <c r="A282" t="s">
        <v>35</v>
      </c>
      <c r="B282" t="s">
        <v>11</v>
      </c>
      <c r="C282" t="s">
        <v>37</v>
      </c>
      <c r="D282">
        <v>2023</v>
      </c>
      <c r="E282">
        <v>9</v>
      </c>
      <c r="F282">
        <v>19</v>
      </c>
      <c r="G282" s="20">
        <v>28.01</v>
      </c>
      <c r="H282" s="20">
        <f>Tabla1[[#This Row],[Cantidad Vendida]]*Tabla1[[#This Row],[Precio Unitario (USD)]]</f>
        <v>532.19000000000005</v>
      </c>
      <c r="I282" s="21">
        <v>7.93</v>
      </c>
      <c r="J282" s="5">
        <f t="shared" si="14"/>
        <v>4220.2667000000001</v>
      </c>
      <c r="K282" t="str">
        <f>IF(Tabla1[[#This Row],[Venta Total (Q)]] = 0, "Sin ventas", "Con ventas")</f>
        <v>Con ventas</v>
      </c>
      <c r="L282" s="20">
        <f t="shared" si="12"/>
        <v>19.606999999999999</v>
      </c>
      <c r="M282" s="20">
        <f t="shared" si="13"/>
        <v>372.53300000000002</v>
      </c>
      <c r="N282" s="20">
        <f>Tabla1[[#This Row],[Venta Total (USD)]] - Tabla1[[#This Row],[Costo Total (USD)]]</f>
        <v>159.65700000000004</v>
      </c>
    </row>
    <row r="283" spans="1:14" x14ac:dyDescent="0.25">
      <c r="A283" t="s">
        <v>16</v>
      </c>
      <c r="B283" t="s">
        <v>17</v>
      </c>
      <c r="C283" t="s">
        <v>18</v>
      </c>
      <c r="D283">
        <v>2023</v>
      </c>
      <c r="E283">
        <v>4</v>
      </c>
      <c r="F283">
        <v>7</v>
      </c>
      <c r="G283" s="20">
        <v>86.21</v>
      </c>
      <c r="H283" s="20">
        <f>Tabla1[[#This Row],[Cantidad Vendida]]*Tabla1[[#This Row],[Precio Unitario (USD)]]</f>
        <v>603.46999999999991</v>
      </c>
      <c r="I283" s="21">
        <v>8.39</v>
      </c>
      <c r="J283" s="5">
        <f t="shared" si="14"/>
        <v>5063.1133</v>
      </c>
      <c r="K283" t="str">
        <f>IF(Tabla1[[#This Row],[Venta Total (Q)]] = 0, "Sin ventas", "Con ventas")</f>
        <v>Con ventas</v>
      </c>
      <c r="L283" s="20">
        <f t="shared" si="12"/>
        <v>60.346999999999994</v>
      </c>
      <c r="M283" s="20">
        <f t="shared" si="13"/>
        <v>422.42899999999997</v>
      </c>
      <c r="N283" s="20">
        <f>Tabla1[[#This Row],[Venta Total (USD)]] - Tabla1[[#This Row],[Costo Total (USD)]]</f>
        <v>181.04099999999994</v>
      </c>
    </row>
    <row r="284" spans="1:14" x14ac:dyDescent="0.25">
      <c r="A284" t="s">
        <v>16</v>
      </c>
      <c r="B284" t="s">
        <v>21</v>
      </c>
      <c r="C284" t="s">
        <v>34</v>
      </c>
      <c r="D284">
        <v>2024</v>
      </c>
      <c r="E284">
        <v>1</v>
      </c>
      <c r="F284">
        <v>3</v>
      </c>
      <c r="G284" s="20">
        <v>434.96</v>
      </c>
      <c r="H284" s="20">
        <f>Tabla1[[#This Row],[Cantidad Vendida]]*Tabla1[[#This Row],[Precio Unitario (USD)]]</f>
        <v>1304.8799999999999</v>
      </c>
      <c r="I284" s="21">
        <v>8.27</v>
      </c>
      <c r="J284" s="5">
        <f t="shared" si="14"/>
        <v>10791.357599999999</v>
      </c>
      <c r="K284" t="str">
        <f>IF(Tabla1[[#This Row],[Venta Total (Q)]] = 0, "Sin ventas", "Con ventas")</f>
        <v>Con ventas</v>
      </c>
      <c r="L284" s="20">
        <f t="shared" si="12"/>
        <v>304.47199999999998</v>
      </c>
      <c r="M284" s="20">
        <f t="shared" si="13"/>
        <v>913.41599999999994</v>
      </c>
      <c r="N284" s="20">
        <f>Tabla1[[#This Row],[Venta Total (USD)]] - Tabla1[[#This Row],[Costo Total (USD)]]</f>
        <v>391.46399999999994</v>
      </c>
    </row>
    <row r="285" spans="1:14" x14ac:dyDescent="0.25">
      <c r="A285" t="s">
        <v>35</v>
      </c>
      <c r="B285" t="s">
        <v>11</v>
      </c>
      <c r="C285" t="s">
        <v>12</v>
      </c>
      <c r="D285">
        <v>2023</v>
      </c>
      <c r="E285">
        <v>4</v>
      </c>
      <c r="F285">
        <v>12</v>
      </c>
      <c r="G285" s="20">
        <v>395.39</v>
      </c>
      <c r="H285" s="20">
        <f>Tabla1[[#This Row],[Cantidad Vendida]]*Tabla1[[#This Row],[Precio Unitario (USD)]]</f>
        <v>4744.68</v>
      </c>
      <c r="I285" s="21">
        <v>8.44</v>
      </c>
      <c r="J285" s="5">
        <f t="shared" si="14"/>
        <v>40045.099199999997</v>
      </c>
      <c r="K285" t="str">
        <f>IF(Tabla1[[#This Row],[Venta Total (Q)]] = 0, "Sin ventas", "Con ventas")</f>
        <v>Con ventas</v>
      </c>
      <c r="L285" s="20">
        <f t="shared" si="12"/>
        <v>276.77299999999997</v>
      </c>
      <c r="M285" s="20">
        <f t="shared" si="13"/>
        <v>3321.2759999999998</v>
      </c>
      <c r="N285" s="20">
        <f>Tabla1[[#This Row],[Venta Total (USD)]] - Tabla1[[#This Row],[Costo Total (USD)]]</f>
        <v>1423.4040000000005</v>
      </c>
    </row>
    <row r="286" spans="1:14" x14ac:dyDescent="0.25">
      <c r="A286" t="s">
        <v>16</v>
      </c>
      <c r="B286" t="s">
        <v>13</v>
      </c>
      <c r="C286" t="s">
        <v>30</v>
      </c>
      <c r="D286">
        <v>2024</v>
      </c>
      <c r="E286">
        <v>1</v>
      </c>
      <c r="F286">
        <v>11</v>
      </c>
      <c r="G286" s="20">
        <v>108.71</v>
      </c>
      <c r="H286" s="20">
        <f>Tabla1[[#This Row],[Cantidad Vendida]]*Tabla1[[#This Row],[Precio Unitario (USD)]]</f>
        <v>1195.81</v>
      </c>
      <c r="I286" s="21">
        <v>8.41</v>
      </c>
      <c r="J286" s="5">
        <f t="shared" si="14"/>
        <v>10056.7621</v>
      </c>
      <c r="K286" t="str">
        <f>IF(Tabla1[[#This Row],[Venta Total (Q)]] = 0, "Sin ventas", "Con ventas")</f>
        <v>Con ventas</v>
      </c>
      <c r="L286" s="20">
        <f t="shared" si="12"/>
        <v>76.096999999999994</v>
      </c>
      <c r="M286" s="20">
        <f t="shared" si="13"/>
        <v>837.06699999999989</v>
      </c>
      <c r="N286" s="20">
        <f>Tabla1[[#This Row],[Venta Total (USD)]] - Tabla1[[#This Row],[Costo Total (USD)]]</f>
        <v>358.74300000000005</v>
      </c>
    </row>
    <row r="287" spans="1:14" x14ac:dyDescent="0.25">
      <c r="A287" t="s">
        <v>20</v>
      </c>
      <c r="B287" t="s">
        <v>17</v>
      </c>
      <c r="C287" t="s">
        <v>18</v>
      </c>
      <c r="D287">
        <v>2025</v>
      </c>
      <c r="E287">
        <v>9</v>
      </c>
      <c r="F287">
        <v>7</v>
      </c>
      <c r="G287" s="20">
        <v>258.58999999999997</v>
      </c>
      <c r="H287" s="20">
        <f>Tabla1[[#This Row],[Cantidad Vendida]]*Tabla1[[#This Row],[Precio Unitario (USD)]]</f>
        <v>1810.1299999999999</v>
      </c>
      <c r="I287" s="21">
        <v>8</v>
      </c>
      <c r="J287" s="5">
        <f t="shared" si="14"/>
        <v>14481.039999999999</v>
      </c>
      <c r="K287" t="str">
        <f>IF(Tabla1[[#This Row],[Venta Total (Q)]] = 0, "Sin ventas", "Con ventas")</f>
        <v>Con ventas</v>
      </c>
      <c r="L287" s="20">
        <f t="shared" si="12"/>
        <v>181.01299999999998</v>
      </c>
      <c r="M287" s="20">
        <f t="shared" si="13"/>
        <v>1267.0909999999999</v>
      </c>
      <c r="N287" s="20">
        <f>Tabla1[[#This Row],[Venta Total (USD)]] - Tabla1[[#This Row],[Costo Total (USD)]]</f>
        <v>543.03899999999999</v>
      </c>
    </row>
    <row r="288" spans="1:14" x14ac:dyDescent="0.25">
      <c r="A288" t="s">
        <v>31</v>
      </c>
      <c r="B288" t="s">
        <v>17</v>
      </c>
      <c r="C288" t="s">
        <v>26</v>
      </c>
      <c r="D288">
        <v>2023</v>
      </c>
      <c r="E288">
        <v>6</v>
      </c>
      <c r="F288">
        <v>12</v>
      </c>
      <c r="G288" s="20">
        <v>70.34</v>
      </c>
      <c r="H288" s="20">
        <f>Tabla1[[#This Row],[Cantidad Vendida]]*Tabla1[[#This Row],[Precio Unitario (USD)]]</f>
        <v>844.08</v>
      </c>
      <c r="I288" s="21">
        <v>7.52</v>
      </c>
      <c r="J288" s="5">
        <f t="shared" si="14"/>
        <v>6347.4816000000001</v>
      </c>
      <c r="K288" t="str">
        <f>IF(Tabla1[[#This Row],[Venta Total (Q)]] = 0, "Sin ventas", "Con ventas")</f>
        <v>Con ventas</v>
      </c>
      <c r="L288" s="20">
        <f t="shared" si="12"/>
        <v>49.238</v>
      </c>
      <c r="M288" s="20">
        <f t="shared" si="13"/>
        <v>590.85599999999999</v>
      </c>
      <c r="N288" s="20">
        <f>Tabla1[[#This Row],[Venta Total (USD)]] - Tabla1[[#This Row],[Costo Total (USD)]]</f>
        <v>253.22400000000005</v>
      </c>
    </row>
    <row r="289" spans="1:14" x14ac:dyDescent="0.25">
      <c r="A289" t="s">
        <v>10</v>
      </c>
      <c r="B289" t="s">
        <v>17</v>
      </c>
      <c r="C289" t="s">
        <v>19</v>
      </c>
      <c r="D289">
        <v>2022</v>
      </c>
      <c r="E289">
        <v>1</v>
      </c>
      <c r="F289">
        <v>15</v>
      </c>
      <c r="G289" s="20">
        <v>27.55</v>
      </c>
      <c r="H289" s="20">
        <f>Tabla1[[#This Row],[Cantidad Vendida]]*Tabla1[[#This Row],[Precio Unitario (USD)]]</f>
        <v>413.25</v>
      </c>
      <c r="I289" s="21">
        <v>7.95</v>
      </c>
      <c r="J289" s="5">
        <f t="shared" si="14"/>
        <v>3285.3375000000001</v>
      </c>
      <c r="K289" t="str">
        <f>IF(Tabla1[[#This Row],[Venta Total (Q)]] = 0, "Sin ventas", "Con ventas")</f>
        <v>Con ventas</v>
      </c>
      <c r="L289" s="20">
        <f t="shared" si="12"/>
        <v>19.285</v>
      </c>
      <c r="M289" s="20">
        <f t="shared" si="13"/>
        <v>289.27499999999998</v>
      </c>
      <c r="N289" s="20">
        <f>Tabla1[[#This Row],[Venta Total (USD)]] - Tabla1[[#This Row],[Costo Total (USD)]]</f>
        <v>123.97500000000002</v>
      </c>
    </row>
    <row r="290" spans="1:14" x14ac:dyDescent="0.25">
      <c r="A290" t="s">
        <v>15</v>
      </c>
      <c r="B290" t="s">
        <v>13</v>
      </c>
      <c r="C290" t="s">
        <v>36</v>
      </c>
      <c r="D290">
        <v>2025</v>
      </c>
      <c r="E290">
        <v>12</v>
      </c>
      <c r="F290">
        <v>13</v>
      </c>
      <c r="G290" s="20">
        <v>369.42</v>
      </c>
      <c r="H290" s="20">
        <f>Tabla1[[#This Row],[Cantidad Vendida]]*Tabla1[[#This Row],[Precio Unitario (USD)]]</f>
        <v>4802.46</v>
      </c>
      <c r="I290" s="21">
        <v>8.27</v>
      </c>
      <c r="J290" s="5">
        <f t="shared" si="14"/>
        <v>39716.3442</v>
      </c>
      <c r="K290" t="str">
        <f>IF(Tabla1[[#This Row],[Venta Total (Q)]] = 0, "Sin ventas", "Con ventas")</f>
        <v>Con ventas</v>
      </c>
      <c r="L290" s="20">
        <f t="shared" si="12"/>
        <v>258.59399999999999</v>
      </c>
      <c r="M290" s="20">
        <f t="shared" si="13"/>
        <v>3361.7219999999998</v>
      </c>
      <c r="N290" s="20">
        <f>Tabla1[[#This Row],[Venta Total (USD)]] - Tabla1[[#This Row],[Costo Total (USD)]]</f>
        <v>1440.7380000000003</v>
      </c>
    </row>
    <row r="291" spans="1:14" x14ac:dyDescent="0.25">
      <c r="A291" t="s">
        <v>16</v>
      </c>
      <c r="B291" t="s">
        <v>13</v>
      </c>
      <c r="C291" t="s">
        <v>36</v>
      </c>
      <c r="D291">
        <v>2022</v>
      </c>
      <c r="E291">
        <v>9</v>
      </c>
      <c r="F291">
        <v>6</v>
      </c>
      <c r="G291" s="20">
        <v>362.72</v>
      </c>
      <c r="H291" s="20">
        <f>Tabla1[[#This Row],[Cantidad Vendida]]*Tabla1[[#This Row],[Precio Unitario (USD)]]</f>
        <v>2176.3200000000002</v>
      </c>
      <c r="I291" s="21">
        <v>7.7</v>
      </c>
      <c r="J291" s="5">
        <f t="shared" si="14"/>
        <v>16757.664000000001</v>
      </c>
      <c r="K291" t="str">
        <f>IF(Tabla1[[#This Row],[Venta Total (Q)]] = 0, "Sin ventas", "Con ventas")</f>
        <v>Con ventas</v>
      </c>
      <c r="L291" s="20">
        <f t="shared" si="12"/>
        <v>253.904</v>
      </c>
      <c r="M291" s="20">
        <f t="shared" si="13"/>
        <v>1523.424</v>
      </c>
      <c r="N291" s="20">
        <f>Tabla1[[#This Row],[Venta Total (USD)]] - Tabla1[[#This Row],[Costo Total (USD)]]</f>
        <v>652.89600000000019</v>
      </c>
    </row>
    <row r="292" spans="1:14" x14ac:dyDescent="0.25">
      <c r="A292" t="s">
        <v>10</v>
      </c>
      <c r="B292" t="s">
        <v>28</v>
      </c>
      <c r="C292" t="s">
        <v>39</v>
      </c>
      <c r="D292">
        <v>2022</v>
      </c>
      <c r="E292">
        <v>8</v>
      </c>
      <c r="F292">
        <v>19</v>
      </c>
      <c r="G292" s="20">
        <v>63.76</v>
      </c>
      <c r="H292" s="20">
        <f>Tabla1[[#This Row],[Cantidad Vendida]]*Tabla1[[#This Row],[Precio Unitario (USD)]]</f>
        <v>1211.44</v>
      </c>
      <c r="I292" s="21">
        <v>7.59</v>
      </c>
      <c r="J292" s="5">
        <f t="shared" si="14"/>
        <v>9194.8296000000009</v>
      </c>
      <c r="K292" t="str">
        <f>IF(Tabla1[[#This Row],[Venta Total (Q)]] = 0, "Sin ventas", "Con ventas")</f>
        <v>Con ventas</v>
      </c>
      <c r="L292" s="20">
        <f t="shared" si="12"/>
        <v>44.631999999999998</v>
      </c>
      <c r="M292" s="20">
        <f t="shared" si="13"/>
        <v>848.00799999999992</v>
      </c>
      <c r="N292" s="20">
        <f>Tabla1[[#This Row],[Venta Total (USD)]] - Tabla1[[#This Row],[Costo Total (USD)]]</f>
        <v>363.43200000000013</v>
      </c>
    </row>
    <row r="293" spans="1:14" x14ac:dyDescent="0.25">
      <c r="A293" t="s">
        <v>20</v>
      </c>
      <c r="B293" t="s">
        <v>11</v>
      </c>
      <c r="C293" t="s">
        <v>23</v>
      </c>
      <c r="D293">
        <v>2024</v>
      </c>
      <c r="E293">
        <v>4</v>
      </c>
      <c r="F293">
        <v>7</v>
      </c>
      <c r="G293" s="20">
        <v>317.31</v>
      </c>
      <c r="H293" s="20">
        <f>Tabla1[[#This Row],[Cantidad Vendida]]*Tabla1[[#This Row],[Precio Unitario (USD)]]</f>
        <v>2221.17</v>
      </c>
      <c r="I293" s="21">
        <v>7.7</v>
      </c>
      <c r="J293" s="5">
        <f t="shared" si="14"/>
        <v>17103.009000000002</v>
      </c>
      <c r="K293" t="str">
        <f>IF(Tabla1[[#This Row],[Venta Total (Q)]] = 0, "Sin ventas", "Con ventas")</f>
        <v>Con ventas</v>
      </c>
      <c r="L293" s="20">
        <f t="shared" si="12"/>
        <v>222.11699999999999</v>
      </c>
      <c r="M293" s="20">
        <f t="shared" si="13"/>
        <v>1554.819</v>
      </c>
      <c r="N293" s="20">
        <f>Tabla1[[#This Row],[Venta Total (USD)]] - Tabla1[[#This Row],[Costo Total (USD)]]</f>
        <v>666.35100000000011</v>
      </c>
    </row>
    <row r="294" spans="1:14" x14ac:dyDescent="0.25">
      <c r="A294" t="s">
        <v>10</v>
      </c>
      <c r="B294" t="s">
        <v>21</v>
      </c>
      <c r="C294" t="s">
        <v>34</v>
      </c>
      <c r="D294">
        <v>2024</v>
      </c>
      <c r="E294">
        <v>7</v>
      </c>
      <c r="F294">
        <v>8</v>
      </c>
      <c r="G294" s="20">
        <v>201.99</v>
      </c>
      <c r="H294" s="20">
        <f>Tabla1[[#This Row],[Cantidad Vendida]]*Tabla1[[#This Row],[Precio Unitario (USD)]]</f>
        <v>1615.92</v>
      </c>
      <c r="I294" s="21">
        <v>8.31</v>
      </c>
      <c r="J294" s="5">
        <f t="shared" si="14"/>
        <v>13428.295200000002</v>
      </c>
      <c r="K294" t="str">
        <f>IF(Tabla1[[#This Row],[Venta Total (Q)]] = 0, "Sin ventas", "Con ventas")</f>
        <v>Con ventas</v>
      </c>
      <c r="L294" s="20">
        <f t="shared" si="12"/>
        <v>141.393</v>
      </c>
      <c r="M294" s="20">
        <f t="shared" si="13"/>
        <v>1131.144</v>
      </c>
      <c r="N294" s="20">
        <f>Tabla1[[#This Row],[Venta Total (USD)]] - Tabla1[[#This Row],[Costo Total (USD)]]</f>
        <v>484.77600000000007</v>
      </c>
    </row>
    <row r="295" spans="1:14" x14ac:dyDescent="0.25">
      <c r="A295" t="s">
        <v>16</v>
      </c>
      <c r="B295" t="s">
        <v>21</v>
      </c>
      <c r="C295" t="s">
        <v>22</v>
      </c>
      <c r="D295">
        <v>2023</v>
      </c>
      <c r="E295">
        <v>5</v>
      </c>
      <c r="F295">
        <v>8</v>
      </c>
      <c r="G295" s="20">
        <v>476.39</v>
      </c>
      <c r="H295" s="20">
        <f>Tabla1[[#This Row],[Cantidad Vendida]]*Tabla1[[#This Row],[Precio Unitario (USD)]]</f>
        <v>3811.12</v>
      </c>
      <c r="I295" s="21">
        <v>7.73</v>
      </c>
      <c r="J295" s="5">
        <f t="shared" si="14"/>
        <v>29459.957600000002</v>
      </c>
      <c r="K295" t="str">
        <f>IF(Tabla1[[#This Row],[Venta Total (Q)]] = 0, "Sin ventas", "Con ventas")</f>
        <v>Con ventas</v>
      </c>
      <c r="L295" s="20">
        <f t="shared" si="12"/>
        <v>333.47299999999996</v>
      </c>
      <c r="M295" s="20">
        <f t="shared" si="13"/>
        <v>2667.7839999999997</v>
      </c>
      <c r="N295" s="20">
        <f>Tabla1[[#This Row],[Venta Total (USD)]] - Tabla1[[#This Row],[Costo Total (USD)]]</f>
        <v>1143.3360000000002</v>
      </c>
    </row>
    <row r="296" spans="1:14" x14ac:dyDescent="0.25">
      <c r="A296" t="s">
        <v>35</v>
      </c>
      <c r="B296" t="s">
        <v>17</v>
      </c>
      <c r="C296" t="s">
        <v>26</v>
      </c>
      <c r="D296">
        <v>2025</v>
      </c>
      <c r="E296">
        <v>4</v>
      </c>
      <c r="F296">
        <v>13</v>
      </c>
      <c r="G296" s="20">
        <v>219.31</v>
      </c>
      <c r="H296" s="20">
        <f>Tabla1[[#This Row],[Cantidad Vendida]]*Tabla1[[#This Row],[Precio Unitario (USD)]]</f>
        <v>2851.03</v>
      </c>
      <c r="I296" s="21">
        <v>8</v>
      </c>
      <c r="J296" s="5">
        <f t="shared" si="14"/>
        <v>22808.240000000002</v>
      </c>
      <c r="K296" t="str">
        <f>IF(Tabla1[[#This Row],[Venta Total (Q)]] = 0, "Sin ventas", "Con ventas")</f>
        <v>Con ventas</v>
      </c>
      <c r="L296" s="20">
        <f t="shared" si="12"/>
        <v>153.517</v>
      </c>
      <c r="M296" s="20">
        <f t="shared" si="13"/>
        <v>1995.721</v>
      </c>
      <c r="N296" s="20">
        <f>Tabla1[[#This Row],[Venta Total (USD)]] - Tabla1[[#This Row],[Costo Total (USD)]]</f>
        <v>855.3090000000002</v>
      </c>
    </row>
    <row r="297" spans="1:14" x14ac:dyDescent="0.25">
      <c r="A297" t="s">
        <v>10</v>
      </c>
      <c r="B297" t="s">
        <v>28</v>
      </c>
      <c r="C297" t="s">
        <v>38</v>
      </c>
      <c r="D297">
        <v>2022</v>
      </c>
      <c r="E297">
        <v>4</v>
      </c>
      <c r="F297">
        <v>3</v>
      </c>
      <c r="G297" s="20">
        <v>185.54</v>
      </c>
      <c r="H297" s="20">
        <f>Tabla1[[#This Row],[Cantidad Vendida]]*Tabla1[[#This Row],[Precio Unitario (USD)]]</f>
        <v>556.62</v>
      </c>
      <c r="I297" s="21">
        <v>7.52</v>
      </c>
      <c r="J297" s="5">
        <f t="shared" si="14"/>
        <v>4185.7824000000001</v>
      </c>
      <c r="K297" t="str">
        <f>IF(Tabla1[[#This Row],[Venta Total (Q)]] = 0, "Sin ventas", "Con ventas")</f>
        <v>Con ventas</v>
      </c>
      <c r="L297" s="20">
        <f t="shared" si="12"/>
        <v>129.87799999999999</v>
      </c>
      <c r="M297" s="20">
        <f t="shared" si="13"/>
        <v>389.63399999999996</v>
      </c>
      <c r="N297" s="20">
        <f>Tabla1[[#This Row],[Venta Total (USD)]] - Tabla1[[#This Row],[Costo Total (USD)]]</f>
        <v>166.98600000000005</v>
      </c>
    </row>
    <row r="298" spans="1:14" x14ac:dyDescent="0.25">
      <c r="A298" t="s">
        <v>16</v>
      </c>
      <c r="B298" t="s">
        <v>11</v>
      </c>
      <c r="C298" t="s">
        <v>12</v>
      </c>
      <c r="D298">
        <v>2023</v>
      </c>
      <c r="E298">
        <v>5</v>
      </c>
      <c r="F298">
        <v>3</v>
      </c>
      <c r="G298" s="20">
        <v>105.74</v>
      </c>
      <c r="H298" s="20">
        <f>Tabla1[[#This Row],[Cantidad Vendida]]*Tabla1[[#This Row],[Precio Unitario (USD)]]</f>
        <v>317.21999999999997</v>
      </c>
      <c r="I298" s="21">
        <v>7.78</v>
      </c>
      <c r="J298" s="5">
        <f t="shared" si="14"/>
        <v>2467.9715999999999</v>
      </c>
      <c r="K298" t="str">
        <f>IF(Tabla1[[#This Row],[Venta Total (Q)]] = 0, "Sin ventas", "Con ventas")</f>
        <v>Con ventas</v>
      </c>
      <c r="L298" s="20">
        <f t="shared" si="12"/>
        <v>74.017999999999986</v>
      </c>
      <c r="M298" s="20">
        <f t="shared" si="13"/>
        <v>222.05399999999997</v>
      </c>
      <c r="N298" s="20">
        <f>Tabla1[[#This Row],[Venta Total (USD)]] - Tabla1[[#This Row],[Costo Total (USD)]]</f>
        <v>95.165999999999997</v>
      </c>
    </row>
    <row r="299" spans="1:14" x14ac:dyDescent="0.25">
      <c r="A299" t="s">
        <v>20</v>
      </c>
      <c r="B299" t="s">
        <v>21</v>
      </c>
      <c r="C299" t="s">
        <v>32</v>
      </c>
      <c r="D299">
        <v>2025</v>
      </c>
      <c r="E299">
        <v>8</v>
      </c>
      <c r="F299">
        <v>13</v>
      </c>
      <c r="G299" s="20">
        <v>111.35</v>
      </c>
      <c r="H299" s="20">
        <f>Tabla1[[#This Row],[Cantidad Vendida]]*Tabla1[[#This Row],[Precio Unitario (USD)]]</f>
        <v>1447.55</v>
      </c>
      <c r="I299" s="21">
        <v>8.2100000000000009</v>
      </c>
      <c r="J299" s="5">
        <f t="shared" si="14"/>
        <v>11884.3855</v>
      </c>
      <c r="K299" t="str">
        <f>IF(Tabla1[[#This Row],[Venta Total (Q)]] = 0, "Sin ventas", "Con ventas")</f>
        <v>Con ventas</v>
      </c>
      <c r="L299" s="20">
        <f t="shared" si="12"/>
        <v>77.944999999999993</v>
      </c>
      <c r="M299" s="20">
        <f t="shared" si="13"/>
        <v>1013.2849999999999</v>
      </c>
      <c r="N299" s="20">
        <f>Tabla1[[#This Row],[Venta Total (USD)]] - Tabla1[[#This Row],[Costo Total (USD)]]</f>
        <v>434.2650000000001</v>
      </c>
    </row>
    <row r="300" spans="1:14" x14ac:dyDescent="0.25">
      <c r="A300" t="s">
        <v>31</v>
      </c>
      <c r="B300" t="s">
        <v>13</v>
      </c>
      <c r="C300" t="s">
        <v>14</v>
      </c>
      <c r="D300">
        <v>2022</v>
      </c>
      <c r="E300">
        <v>8</v>
      </c>
      <c r="F300">
        <v>19</v>
      </c>
      <c r="G300" s="20">
        <v>229.67</v>
      </c>
      <c r="H300" s="20">
        <f>Tabla1[[#This Row],[Cantidad Vendida]]*Tabla1[[#This Row],[Precio Unitario (USD)]]</f>
        <v>4363.7299999999996</v>
      </c>
      <c r="I300" s="21">
        <v>7.6</v>
      </c>
      <c r="J300" s="5">
        <f t="shared" si="14"/>
        <v>33164.347999999998</v>
      </c>
      <c r="K300" t="str">
        <f>IF(Tabla1[[#This Row],[Venta Total (Q)]] = 0, "Sin ventas", "Con ventas")</f>
        <v>Con ventas</v>
      </c>
      <c r="L300" s="20">
        <f t="shared" si="12"/>
        <v>160.76899999999998</v>
      </c>
      <c r="M300" s="20">
        <f t="shared" si="13"/>
        <v>3054.6109999999994</v>
      </c>
      <c r="N300" s="20">
        <f>Tabla1[[#This Row],[Venta Total (USD)]] - Tabla1[[#This Row],[Costo Total (USD)]]</f>
        <v>1309.1190000000001</v>
      </c>
    </row>
    <row r="301" spans="1:14" x14ac:dyDescent="0.25">
      <c r="A301" t="s">
        <v>35</v>
      </c>
      <c r="B301" t="s">
        <v>13</v>
      </c>
      <c r="C301" t="s">
        <v>14</v>
      </c>
      <c r="D301">
        <v>2023</v>
      </c>
      <c r="E301">
        <v>2</v>
      </c>
      <c r="F301">
        <v>1</v>
      </c>
      <c r="G301" s="20">
        <v>405.05</v>
      </c>
      <c r="H301" s="20">
        <f>Tabla1[[#This Row],[Cantidad Vendida]]*Tabla1[[#This Row],[Precio Unitario (USD)]]</f>
        <v>405.05</v>
      </c>
      <c r="I301" s="21">
        <v>7.86</v>
      </c>
      <c r="J301" s="5">
        <f t="shared" si="14"/>
        <v>3183.6930000000002</v>
      </c>
      <c r="K301" t="str">
        <f>IF(Tabla1[[#This Row],[Venta Total (Q)]] = 0, "Sin ventas", "Con ventas")</f>
        <v>Con ventas</v>
      </c>
      <c r="L301" s="20">
        <f t="shared" si="12"/>
        <v>283.53499999999997</v>
      </c>
      <c r="M301" s="20">
        <f t="shared" si="13"/>
        <v>283.53499999999997</v>
      </c>
      <c r="N301" s="20">
        <f>Tabla1[[#This Row],[Venta Total (USD)]] - Tabla1[[#This Row],[Costo Total (USD)]]</f>
        <v>121.51500000000004</v>
      </c>
    </row>
    <row r="302" spans="1:14" x14ac:dyDescent="0.25">
      <c r="A302" t="s">
        <v>16</v>
      </c>
      <c r="B302" t="s">
        <v>13</v>
      </c>
      <c r="C302" t="s">
        <v>27</v>
      </c>
      <c r="D302">
        <v>2025</v>
      </c>
      <c r="E302">
        <v>6</v>
      </c>
      <c r="F302">
        <v>13</v>
      </c>
      <c r="G302" s="20">
        <v>291.36</v>
      </c>
      <c r="H302" s="20">
        <f>Tabla1[[#This Row],[Cantidad Vendida]]*Tabla1[[#This Row],[Precio Unitario (USD)]]</f>
        <v>3787.6800000000003</v>
      </c>
      <c r="I302" s="21">
        <v>7.71</v>
      </c>
      <c r="J302" s="5">
        <f t="shared" si="14"/>
        <v>29203.0128</v>
      </c>
      <c r="K302" t="str">
        <f>IF(Tabla1[[#This Row],[Venta Total (Q)]] = 0, "Sin ventas", "Con ventas")</f>
        <v>Con ventas</v>
      </c>
      <c r="L302" s="20">
        <f t="shared" si="12"/>
        <v>203.952</v>
      </c>
      <c r="M302" s="20">
        <f t="shared" si="13"/>
        <v>2651.3760000000002</v>
      </c>
      <c r="N302" s="20">
        <f>Tabla1[[#This Row],[Venta Total (USD)]] - Tabla1[[#This Row],[Costo Total (USD)]]</f>
        <v>1136.3040000000001</v>
      </c>
    </row>
    <row r="303" spans="1:14" x14ac:dyDescent="0.25">
      <c r="A303" t="s">
        <v>10</v>
      </c>
      <c r="B303" t="s">
        <v>21</v>
      </c>
      <c r="C303" t="s">
        <v>32</v>
      </c>
      <c r="D303">
        <v>2025</v>
      </c>
      <c r="E303">
        <v>6</v>
      </c>
      <c r="F303">
        <v>13</v>
      </c>
      <c r="G303" s="20">
        <v>445.26</v>
      </c>
      <c r="H303" s="20">
        <f>Tabla1[[#This Row],[Cantidad Vendida]]*Tabla1[[#This Row],[Precio Unitario (USD)]]</f>
        <v>5788.38</v>
      </c>
      <c r="I303" s="21">
        <v>7.9</v>
      </c>
      <c r="J303" s="5">
        <f t="shared" si="14"/>
        <v>45728.202000000005</v>
      </c>
      <c r="K303" t="str">
        <f>IF(Tabla1[[#This Row],[Venta Total (Q)]] = 0, "Sin ventas", "Con ventas")</f>
        <v>Con ventas</v>
      </c>
      <c r="L303" s="20">
        <f t="shared" si="12"/>
        <v>311.68199999999996</v>
      </c>
      <c r="M303" s="20">
        <f t="shared" si="13"/>
        <v>4051.8659999999995</v>
      </c>
      <c r="N303" s="20">
        <f>Tabla1[[#This Row],[Venta Total (USD)]] - Tabla1[[#This Row],[Costo Total (USD)]]</f>
        <v>1736.5140000000006</v>
      </c>
    </row>
    <row r="304" spans="1:14" x14ac:dyDescent="0.25">
      <c r="A304" t="s">
        <v>10</v>
      </c>
      <c r="B304" t="s">
        <v>17</v>
      </c>
      <c r="C304" t="s">
        <v>19</v>
      </c>
      <c r="D304">
        <v>2023</v>
      </c>
      <c r="E304">
        <v>10</v>
      </c>
      <c r="F304">
        <v>7</v>
      </c>
      <c r="G304" s="20">
        <v>48.91</v>
      </c>
      <c r="H304" s="20">
        <f>Tabla1[[#This Row],[Cantidad Vendida]]*Tabla1[[#This Row],[Precio Unitario (USD)]]</f>
        <v>342.37</v>
      </c>
      <c r="I304" s="21">
        <v>7.64</v>
      </c>
      <c r="J304" s="5">
        <f t="shared" si="14"/>
        <v>2615.7067999999999</v>
      </c>
      <c r="K304" t="str">
        <f>IF(Tabla1[[#This Row],[Venta Total (Q)]] = 0, "Sin ventas", "Con ventas")</f>
        <v>Con ventas</v>
      </c>
      <c r="L304" s="20">
        <f t="shared" si="12"/>
        <v>34.236999999999995</v>
      </c>
      <c r="M304" s="20">
        <f t="shared" si="13"/>
        <v>239.65899999999996</v>
      </c>
      <c r="N304" s="20">
        <f>Tabla1[[#This Row],[Venta Total (USD)]] - Tabla1[[#This Row],[Costo Total (USD)]]</f>
        <v>102.71100000000004</v>
      </c>
    </row>
    <row r="305" spans="1:14" x14ac:dyDescent="0.25">
      <c r="A305" t="s">
        <v>31</v>
      </c>
      <c r="B305" t="s">
        <v>28</v>
      </c>
      <c r="C305" t="s">
        <v>29</v>
      </c>
      <c r="D305">
        <v>2025</v>
      </c>
      <c r="E305">
        <v>4</v>
      </c>
      <c r="F305">
        <v>5</v>
      </c>
      <c r="G305" s="20">
        <v>224.29</v>
      </c>
      <c r="H305" s="20">
        <f>Tabla1[[#This Row],[Cantidad Vendida]]*Tabla1[[#This Row],[Precio Unitario (USD)]]</f>
        <v>1121.45</v>
      </c>
      <c r="I305" s="21">
        <v>7.56</v>
      </c>
      <c r="J305" s="5">
        <f t="shared" si="14"/>
        <v>8478.1620000000003</v>
      </c>
      <c r="K305" t="str">
        <f>IF(Tabla1[[#This Row],[Venta Total (Q)]] = 0, "Sin ventas", "Con ventas")</f>
        <v>Con ventas</v>
      </c>
      <c r="L305" s="20">
        <f t="shared" si="12"/>
        <v>157.00299999999999</v>
      </c>
      <c r="M305" s="20">
        <f t="shared" si="13"/>
        <v>785.01499999999987</v>
      </c>
      <c r="N305" s="20">
        <f>Tabla1[[#This Row],[Venta Total (USD)]] - Tabla1[[#This Row],[Costo Total (USD)]]</f>
        <v>336.43500000000017</v>
      </c>
    </row>
    <row r="306" spans="1:14" x14ac:dyDescent="0.25">
      <c r="A306" t="s">
        <v>16</v>
      </c>
      <c r="B306" t="s">
        <v>11</v>
      </c>
      <c r="C306" t="s">
        <v>37</v>
      </c>
      <c r="D306">
        <v>2022</v>
      </c>
      <c r="E306">
        <v>7</v>
      </c>
      <c r="F306">
        <v>18</v>
      </c>
      <c r="G306" s="20">
        <v>199.55</v>
      </c>
      <c r="H306" s="20">
        <f>Tabla1[[#This Row],[Cantidad Vendida]]*Tabla1[[#This Row],[Precio Unitario (USD)]]</f>
        <v>3591.9</v>
      </c>
      <c r="I306" s="21">
        <v>8.08</v>
      </c>
      <c r="J306" s="5">
        <f t="shared" si="14"/>
        <v>29022.552</v>
      </c>
      <c r="K306" t="str">
        <f>IF(Tabla1[[#This Row],[Venta Total (Q)]] = 0, "Sin ventas", "Con ventas")</f>
        <v>Con ventas</v>
      </c>
      <c r="L306" s="20">
        <f t="shared" si="12"/>
        <v>139.685</v>
      </c>
      <c r="M306" s="20">
        <f t="shared" si="13"/>
        <v>2514.33</v>
      </c>
      <c r="N306" s="20">
        <f>Tabla1[[#This Row],[Venta Total (USD)]] - Tabla1[[#This Row],[Costo Total (USD)]]</f>
        <v>1077.5700000000002</v>
      </c>
    </row>
    <row r="307" spans="1:14" x14ac:dyDescent="0.25">
      <c r="A307" t="s">
        <v>35</v>
      </c>
      <c r="B307" t="s">
        <v>28</v>
      </c>
      <c r="C307" t="s">
        <v>29</v>
      </c>
      <c r="D307">
        <v>2023</v>
      </c>
      <c r="E307">
        <v>12</v>
      </c>
      <c r="F307">
        <v>8</v>
      </c>
      <c r="G307" s="20">
        <v>236.93</v>
      </c>
      <c r="H307" s="20">
        <f>Tabla1[[#This Row],[Cantidad Vendida]]*Tabla1[[#This Row],[Precio Unitario (USD)]]</f>
        <v>1895.44</v>
      </c>
      <c r="I307" s="21">
        <v>7.99</v>
      </c>
      <c r="J307" s="5">
        <f t="shared" si="14"/>
        <v>15144.565600000002</v>
      </c>
      <c r="K307" t="str">
        <f>IF(Tabla1[[#This Row],[Venta Total (Q)]] = 0, "Sin ventas", "Con ventas")</f>
        <v>Con ventas</v>
      </c>
      <c r="L307" s="20">
        <f t="shared" si="12"/>
        <v>165.851</v>
      </c>
      <c r="M307" s="20">
        <f t="shared" si="13"/>
        <v>1326.808</v>
      </c>
      <c r="N307" s="20">
        <f>Tabla1[[#This Row],[Venta Total (USD)]] - Tabla1[[#This Row],[Costo Total (USD)]]</f>
        <v>568.63200000000006</v>
      </c>
    </row>
    <row r="308" spans="1:14" x14ac:dyDescent="0.25">
      <c r="A308" t="s">
        <v>16</v>
      </c>
      <c r="B308" t="s">
        <v>13</v>
      </c>
      <c r="C308" t="s">
        <v>36</v>
      </c>
      <c r="D308">
        <v>2025</v>
      </c>
      <c r="E308">
        <v>10</v>
      </c>
      <c r="F308">
        <v>13</v>
      </c>
      <c r="G308" s="20">
        <v>63.46</v>
      </c>
      <c r="H308" s="20">
        <f>Tabla1[[#This Row],[Cantidad Vendida]]*Tabla1[[#This Row],[Precio Unitario (USD)]]</f>
        <v>824.98</v>
      </c>
      <c r="I308" s="21">
        <v>7.81</v>
      </c>
      <c r="J308" s="5">
        <f t="shared" si="14"/>
        <v>6443.0937999999996</v>
      </c>
      <c r="K308" t="str">
        <f>IF(Tabla1[[#This Row],[Venta Total (Q)]] = 0, "Sin ventas", "Con ventas")</f>
        <v>Con ventas</v>
      </c>
      <c r="L308" s="20">
        <f t="shared" si="12"/>
        <v>44.421999999999997</v>
      </c>
      <c r="M308" s="20">
        <f t="shared" si="13"/>
        <v>577.48599999999999</v>
      </c>
      <c r="N308" s="20">
        <f>Tabla1[[#This Row],[Venta Total (USD)]] - Tabla1[[#This Row],[Costo Total (USD)]]</f>
        <v>247.49400000000003</v>
      </c>
    </row>
    <row r="309" spans="1:14" x14ac:dyDescent="0.25">
      <c r="A309" t="s">
        <v>16</v>
      </c>
      <c r="B309" t="s">
        <v>13</v>
      </c>
      <c r="C309" t="s">
        <v>30</v>
      </c>
      <c r="D309">
        <v>2025</v>
      </c>
      <c r="E309">
        <v>10</v>
      </c>
      <c r="F309">
        <v>10</v>
      </c>
      <c r="G309" s="20">
        <v>200.98</v>
      </c>
      <c r="H309" s="20">
        <f>Tabla1[[#This Row],[Cantidad Vendida]]*Tabla1[[#This Row],[Precio Unitario (USD)]]</f>
        <v>2009.8</v>
      </c>
      <c r="I309" s="21">
        <v>7.55</v>
      </c>
      <c r="J309" s="5">
        <f t="shared" si="14"/>
        <v>15173.99</v>
      </c>
      <c r="K309" t="str">
        <f>IF(Tabla1[[#This Row],[Venta Total (Q)]] = 0, "Sin ventas", "Con ventas")</f>
        <v>Con ventas</v>
      </c>
      <c r="L309" s="20">
        <f t="shared" si="12"/>
        <v>140.68599999999998</v>
      </c>
      <c r="M309" s="20">
        <f t="shared" si="13"/>
        <v>1406.8599999999997</v>
      </c>
      <c r="N309" s="20">
        <f>Tabla1[[#This Row],[Venta Total (USD)]] - Tabla1[[#This Row],[Costo Total (USD)]]</f>
        <v>602.94000000000028</v>
      </c>
    </row>
    <row r="310" spans="1:14" x14ac:dyDescent="0.25">
      <c r="A310" t="s">
        <v>31</v>
      </c>
      <c r="B310" t="s">
        <v>28</v>
      </c>
      <c r="C310" t="s">
        <v>39</v>
      </c>
      <c r="D310">
        <v>2025</v>
      </c>
      <c r="E310">
        <v>3</v>
      </c>
      <c r="F310">
        <v>2</v>
      </c>
      <c r="G310" s="20">
        <v>206.77</v>
      </c>
      <c r="H310" s="20">
        <f>Tabla1[[#This Row],[Cantidad Vendida]]*Tabla1[[#This Row],[Precio Unitario (USD)]]</f>
        <v>413.54</v>
      </c>
      <c r="I310" s="21">
        <v>7.88</v>
      </c>
      <c r="J310" s="5">
        <f t="shared" si="14"/>
        <v>3258.6952000000001</v>
      </c>
      <c r="K310" t="str">
        <f>IF(Tabla1[[#This Row],[Venta Total (Q)]] = 0, "Sin ventas", "Con ventas")</f>
        <v>Con ventas</v>
      </c>
      <c r="L310" s="20">
        <f t="shared" si="12"/>
        <v>144.739</v>
      </c>
      <c r="M310" s="20">
        <f t="shared" si="13"/>
        <v>289.47800000000001</v>
      </c>
      <c r="N310" s="20">
        <f>Tabla1[[#This Row],[Venta Total (USD)]] - Tabla1[[#This Row],[Costo Total (USD)]]</f>
        <v>124.06200000000001</v>
      </c>
    </row>
    <row r="311" spans="1:14" x14ac:dyDescent="0.25">
      <c r="A311" t="s">
        <v>10</v>
      </c>
      <c r="B311" t="s">
        <v>11</v>
      </c>
      <c r="C311" t="s">
        <v>12</v>
      </c>
      <c r="D311">
        <v>2022</v>
      </c>
      <c r="E311">
        <v>12</v>
      </c>
      <c r="F311">
        <v>4</v>
      </c>
      <c r="G311" s="20">
        <v>477.44</v>
      </c>
      <c r="H311" s="20">
        <f>Tabla1[[#This Row],[Cantidad Vendida]]*Tabla1[[#This Row],[Precio Unitario (USD)]]</f>
        <v>1909.76</v>
      </c>
      <c r="I311" s="21">
        <v>8.01</v>
      </c>
      <c r="J311" s="5">
        <f t="shared" si="14"/>
        <v>15297.177599999999</v>
      </c>
      <c r="K311" t="str">
        <f>IF(Tabla1[[#This Row],[Venta Total (Q)]] = 0, "Sin ventas", "Con ventas")</f>
        <v>Con ventas</v>
      </c>
      <c r="L311" s="20">
        <f t="shared" si="12"/>
        <v>334.20799999999997</v>
      </c>
      <c r="M311" s="20">
        <f t="shared" si="13"/>
        <v>1336.8319999999999</v>
      </c>
      <c r="N311" s="20">
        <f>Tabla1[[#This Row],[Venta Total (USD)]] - Tabla1[[#This Row],[Costo Total (USD)]]</f>
        <v>572.92800000000011</v>
      </c>
    </row>
    <row r="312" spans="1:14" x14ac:dyDescent="0.25">
      <c r="A312" t="s">
        <v>20</v>
      </c>
      <c r="B312" t="s">
        <v>13</v>
      </c>
      <c r="C312" t="s">
        <v>36</v>
      </c>
      <c r="D312">
        <v>2023</v>
      </c>
      <c r="E312">
        <v>5</v>
      </c>
      <c r="F312">
        <v>8</v>
      </c>
      <c r="G312" s="20">
        <v>360.03</v>
      </c>
      <c r="H312" s="20">
        <f>Tabla1[[#This Row],[Cantidad Vendida]]*Tabla1[[#This Row],[Precio Unitario (USD)]]</f>
        <v>2880.24</v>
      </c>
      <c r="I312" s="21">
        <v>7.93</v>
      </c>
      <c r="J312" s="5">
        <f t="shared" si="14"/>
        <v>22840.303199999998</v>
      </c>
      <c r="K312" t="str">
        <f>IF(Tabla1[[#This Row],[Venta Total (Q)]] = 0, "Sin ventas", "Con ventas")</f>
        <v>Con ventas</v>
      </c>
      <c r="L312" s="20">
        <f t="shared" si="12"/>
        <v>252.02099999999996</v>
      </c>
      <c r="M312" s="20">
        <f t="shared" si="13"/>
        <v>2016.1679999999997</v>
      </c>
      <c r="N312" s="20">
        <f>Tabla1[[#This Row],[Venta Total (USD)]] - Tabla1[[#This Row],[Costo Total (USD)]]</f>
        <v>864.07200000000012</v>
      </c>
    </row>
    <row r="313" spans="1:14" x14ac:dyDescent="0.25">
      <c r="A313" t="s">
        <v>20</v>
      </c>
      <c r="B313" t="s">
        <v>21</v>
      </c>
      <c r="C313" t="s">
        <v>34</v>
      </c>
      <c r="D313">
        <v>2022</v>
      </c>
      <c r="E313">
        <v>10</v>
      </c>
      <c r="F313">
        <v>5</v>
      </c>
      <c r="G313" s="20">
        <v>393.04</v>
      </c>
      <c r="H313" s="20">
        <f>Tabla1[[#This Row],[Cantidad Vendida]]*Tabla1[[#This Row],[Precio Unitario (USD)]]</f>
        <v>1965.2</v>
      </c>
      <c r="I313" s="21">
        <v>8.0399999999999991</v>
      </c>
      <c r="J313" s="5">
        <f t="shared" si="14"/>
        <v>15800.207999999999</v>
      </c>
      <c r="K313" t="str">
        <f>IF(Tabla1[[#This Row],[Venta Total (Q)]] = 0, "Sin ventas", "Con ventas")</f>
        <v>Con ventas</v>
      </c>
      <c r="L313" s="20">
        <f t="shared" si="12"/>
        <v>275.12799999999999</v>
      </c>
      <c r="M313" s="20">
        <f t="shared" si="13"/>
        <v>1375.6399999999999</v>
      </c>
      <c r="N313" s="20">
        <f>Tabla1[[#This Row],[Venta Total (USD)]] - Tabla1[[#This Row],[Costo Total (USD)]]</f>
        <v>589.56000000000017</v>
      </c>
    </row>
    <row r="314" spans="1:14" x14ac:dyDescent="0.25">
      <c r="A314" t="s">
        <v>15</v>
      </c>
      <c r="B314" t="s">
        <v>17</v>
      </c>
      <c r="C314" t="s">
        <v>33</v>
      </c>
      <c r="D314">
        <v>2023</v>
      </c>
      <c r="E314">
        <v>1</v>
      </c>
      <c r="F314">
        <v>19</v>
      </c>
      <c r="G314" s="20">
        <v>397.37</v>
      </c>
      <c r="H314" s="20">
        <f>Tabla1[[#This Row],[Cantidad Vendida]]*Tabla1[[#This Row],[Precio Unitario (USD)]]</f>
        <v>7550.03</v>
      </c>
      <c r="I314" s="21">
        <v>7.81</v>
      </c>
      <c r="J314" s="5">
        <f t="shared" si="14"/>
        <v>58965.734299999996</v>
      </c>
      <c r="K314" t="str">
        <f>IF(Tabla1[[#This Row],[Venta Total (Q)]] = 0, "Sin ventas", "Con ventas")</f>
        <v>Con ventas</v>
      </c>
      <c r="L314" s="20">
        <f t="shared" si="12"/>
        <v>278.15899999999999</v>
      </c>
      <c r="M314" s="20">
        <f t="shared" si="13"/>
        <v>5285.0209999999997</v>
      </c>
      <c r="N314" s="20">
        <f>Tabla1[[#This Row],[Venta Total (USD)]] - Tabla1[[#This Row],[Costo Total (USD)]]</f>
        <v>2265.009</v>
      </c>
    </row>
    <row r="315" spans="1:14" x14ac:dyDescent="0.25">
      <c r="A315" t="s">
        <v>20</v>
      </c>
      <c r="B315" t="s">
        <v>11</v>
      </c>
      <c r="C315" t="s">
        <v>23</v>
      </c>
      <c r="D315">
        <v>2024</v>
      </c>
      <c r="E315">
        <v>8</v>
      </c>
      <c r="F315">
        <v>3</v>
      </c>
      <c r="G315" s="20">
        <v>184.48</v>
      </c>
      <c r="H315" s="20">
        <f>Tabla1[[#This Row],[Cantidad Vendida]]*Tabla1[[#This Row],[Precio Unitario (USD)]]</f>
        <v>553.43999999999994</v>
      </c>
      <c r="I315" s="21">
        <v>7.93</v>
      </c>
      <c r="J315" s="5">
        <f t="shared" si="14"/>
        <v>4388.779199999999</v>
      </c>
      <c r="K315" t="str">
        <f>IF(Tabla1[[#This Row],[Venta Total (Q)]] = 0, "Sin ventas", "Con ventas")</f>
        <v>Con ventas</v>
      </c>
      <c r="L315" s="20">
        <f t="shared" si="12"/>
        <v>129.136</v>
      </c>
      <c r="M315" s="20">
        <f t="shared" si="13"/>
        <v>387.40800000000002</v>
      </c>
      <c r="N315" s="20">
        <f>Tabla1[[#This Row],[Venta Total (USD)]] - Tabla1[[#This Row],[Costo Total (USD)]]</f>
        <v>166.03199999999993</v>
      </c>
    </row>
    <row r="316" spans="1:14" x14ac:dyDescent="0.25">
      <c r="A316" t="s">
        <v>10</v>
      </c>
      <c r="B316" t="s">
        <v>11</v>
      </c>
      <c r="C316" t="s">
        <v>25</v>
      </c>
      <c r="D316">
        <v>2023</v>
      </c>
      <c r="E316">
        <v>8</v>
      </c>
      <c r="F316">
        <v>14</v>
      </c>
      <c r="G316" s="20">
        <v>204.59</v>
      </c>
      <c r="H316" s="20">
        <f>Tabla1[[#This Row],[Cantidad Vendida]]*Tabla1[[#This Row],[Precio Unitario (USD)]]</f>
        <v>2864.26</v>
      </c>
      <c r="I316" s="21">
        <v>8.07</v>
      </c>
      <c r="J316" s="5">
        <f t="shared" si="14"/>
        <v>23114.578200000004</v>
      </c>
      <c r="K316" t="str">
        <f>IF(Tabla1[[#This Row],[Venta Total (Q)]] = 0, "Sin ventas", "Con ventas")</f>
        <v>Con ventas</v>
      </c>
      <c r="L316" s="20">
        <f t="shared" si="12"/>
        <v>143.21299999999999</v>
      </c>
      <c r="M316" s="20">
        <f t="shared" si="13"/>
        <v>2004.982</v>
      </c>
      <c r="N316" s="20">
        <f>Tabla1[[#This Row],[Venta Total (USD)]] - Tabla1[[#This Row],[Costo Total (USD)]]</f>
        <v>859.27800000000025</v>
      </c>
    </row>
    <row r="317" spans="1:14" x14ac:dyDescent="0.25">
      <c r="A317" t="s">
        <v>35</v>
      </c>
      <c r="B317" t="s">
        <v>11</v>
      </c>
      <c r="C317" t="s">
        <v>37</v>
      </c>
      <c r="D317">
        <v>2025</v>
      </c>
      <c r="E317">
        <v>10</v>
      </c>
      <c r="F317">
        <v>4</v>
      </c>
      <c r="G317" s="20">
        <v>171.22</v>
      </c>
      <c r="H317" s="20">
        <f>Tabla1[[#This Row],[Cantidad Vendida]]*Tabla1[[#This Row],[Precio Unitario (USD)]]</f>
        <v>684.88</v>
      </c>
      <c r="I317" s="21">
        <v>8.15</v>
      </c>
      <c r="J317" s="5">
        <f t="shared" si="14"/>
        <v>5581.7719999999999</v>
      </c>
      <c r="K317" t="str">
        <f>IF(Tabla1[[#This Row],[Venta Total (Q)]] = 0, "Sin ventas", "Con ventas")</f>
        <v>Con ventas</v>
      </c>
      <c r="L317" s="20">
        <f t="shared" si="12"/>
        <v>119.85399999999998</v>
      </c>
      <c r="M317" s="20">
        <f t="shared" si="13"/>
        <v>479.41599999999994</v>
      </c>
      <c r="N317" s="20">
        <f>Tabla1[[#This Row],[Venta Total (USD)]] - Tabla1[[#This Row],[Costo Total (USD)]]</f>
        <v>205.46400000000006</v>
      </c>
    </row>
    <row r="318" spans="1:14" x14ac:dyDescent="0.25">
      <c r="A318" t="s">
        <v>35</v>
      </c>
      <c r="B318" t="s">
        <v>28</v>
      </c>
      <c r="C318" t="s">
        <v>40</v>
      </c>
      <c r="D318">
        <v>2024</v>
      </c>
      <c r="E318">
        <v>7</v>
      </c>
      <c r="F318">
        <v>18</v>
      </c>
      <c r="G318" s="20">
        <v>122.84</v>
      </c>
      <c r="H318" s="20">
        <f>Tabla1[[#This Row],[Cantidad Vendida]]*Tabla1[[#This Row],[Precio Unitario (USD)]]</f>
        <v>2211.12</v>
      </c>
      <c r="I318" s="21">
        <v>8.25</v>
      </c>
      <c r="J318" s="5">
        <f t="shared" si="14"/>
        <v>18241.739999999998</v>
      </c>
      <c r="K318" t="str">
        <f>IF(Tabla1[[#This Row],[Venta Total (Q)]] = 0, "Sin ventas", "Con ventas")</f>
        <v>Con ventas</v>
      </c>
      <c r="L318" s="20">
        <f t="shared" si="12"/>
        <v>85.988</v>
      </c>
      <c r="M318" s="20">
        <f t="shared" si="13"/>
        <v>1547.7840000000001</v>
      </c>
      <c r="N318" s="20">
        <f>Tabla1[[#This Row],[Venta Total (USD)]] - Tabla1[[#This Row],[Costo Total (USD)]]</f>
        <v>663.33599999999979</v>
      </c>
    </row>
    <row r="319" spans="1:14" x14ac:dyDescent="0.25">
      <c r="A319" t="s">
        <v>35</v>
      </c>
      <c r="B319" t="s">
        <v>28</v>
      </c>
      <c r="C319" t="s">
        <v>40</v>
      </c>
      <c r="D319">
        <v>2023</v>
      </c>
      <c r="E319">
        <v>11</v>
      </c>
      <c r="F319">
        <v>10</v>
      </c>
      <c r="G319" s="20">
        <v>58.68</v>
      </c>
      <c r="H319" s="20">
        <f>Tabla1[[#This Row],[Cantidad Vendida]]*Tabla1[[#This Row],[Precio Unitario (USD)]]</f>
        <v>586.79999999999995</v>
      </c>
      <c r="I319" s="21">
        <v>7.54</v>
      </c>
      <c r="J319" s="5">
        <f t="shared" si="14"/>
        <v>4424.4719999999998</v>
      </c>
      <c r="K319" t="str">
        <f>IF(Tabla1[[#This Row],[Venta Total (Q)]] = 0, "Sin ventas", "Con ventas")</f>
        <v>Con ventas</v>
      </c>
      <c r="L319" s="20">
        <f t="shared" si="12"/>
        <v>41.076000000000001</v>
      </c>
      <c r="M319" s="20">
        <f t="shared" si="13"/>
        <v>410.76</v>
      </c>
      <c r="N319" s="20">
        <f>Tabla1[[#This Row],[Venta Total (USD)]] - Tabla1[[#This Row],[Costo Total (USD)]]</f>
        <v>176.03999999999996</v>
      </c>
    </row>
    <row r="320" spans="1:14" x14ac:dyDescent="0.25">
      <c r="A320" t="s">
        <v>15</v>
      </c>
      <c r="B320" t="s">
        <v>13</v>
      </c>
      <c r="C320" t="s">
        <v>27</v>
      </c>
      <c r="D320">
        <v>2022</v>
      </c>
      <c r="E320">
        <v>5</v>
      </c>
      <c r="F320">
        <v>11</v>
      </c>
      <c r="G320" s="20">
        <v>97.82</v>
      </c>
      <c r="H320" s="20">
        <f>Tabla1[[#This Row],[Cantidad Vendida]]*Tabla1[[#This Row],[Precio Unitario (USD)]]</f>
        <v>1076.02</v>
      </c>
      <c r="I320" s="21">
        <v>8.24</v>
      </c>
      <c r="J320" s="5">
        <f t="shared" si="14"/>
        <v>8866.4048000000003</v>
      </c>
      <c r="K320" t="str">
        <f>IF(Tabla1[[#This Row],[Venta Total (Q)]] = 0, "Sin ventas", "Con ventas")</f>
        <v>Con ventas</v>
      </c>
      <c r="L320" s="20">
        <f t="shared" si="12"/>
        <v>68.47399999999999</v>
      </c>
      <c r="M320" s="20">
        <f t="shared" si="13"/>
        <v>753.21399999999994</v>
      </c>
      <c r="N320" s="20">
        <f>Tabla1[[#This Row],[Venta Total (USD)]] - Tabla1[[#This Row],[Costo Total (USD)]]</f>
        <v>322.80600000000004</v>
      </c>
    </row>
    <row r="321" spans="1:14" x14ac:dyDescent="0.25">
      <c r="A321" t="s">
        <v>16</v>
      </c>
      <c r="B321" t="s">
        <v>28</v>
      </c>
      <c r="C321" t="s">
        <v>38</v>
      </c>
      <c r="D321">
        <v>2022</v>
      </c>
      <c r="E321">
        <v>9</v>
      </c>
      <c r="F321">
        <v>11</v>
      </c>
      <c r="G321" s="20">
        <v>437.07</v>
      </c>
      <c r="H321" s="20">
        <f>Tabla1[[#This Row],[Cantidad Vendida]]*Tabla1[[#This Row],[Precio Unitario (USD)]]</f>
        <v>4807.7699999999995</v>
      </c>
      <c r="I321" s="21">
        <v>8.36</v>
      </c>
      <c r="J321" s="5">
        <f t="shared" si="14"/>
        <v>40192.95719999999</v>
      </c>
      <c r="K321" t="str">
        <f>IF(Tabla1[[#This Row],[Venta Total (Q)]] = 0, "Sin ventas", "Con ventas")</f>
        <v>Con ventas</v>
      </c>
      <c r="L321" s="20">
        <f t="shared" si="12"/>
        <v>305.94899999999996</v>
      </c>
      <c r="M321" s="20">
        <f t="shared" si="13"/>
        <v>3365.4389999999994</v>
      </c>
      <c r="N321" s="20">
        <f>Tabla1[[#This Row],[Venta Total (USD)]] - Tabla1[[#This Row],[Costo Total (USD)]]</f>
        <v>1442.3310000000001</v>
      </c>
    </row>
    <row r="322" spans="1:14" x14ac:dyDescent="0.25">
      <c r="A322" t="s">
        <v>35</v>
      </c>
      <c r="B322" t="s">
        <v>21</v>
      </c>
      <c r="C322" t="s">
        <v>22</v>
      </c>
      <c r="D322">
        <v>2025</v>
      </c>
      <c r="E322">
        <v>1</v>
      </c>
      <c r="F322">
        <v>18</v>
      </c>
      <c r="G322" s="20">
        <v>136.15</v>
      </c>
      <c r="H322" s="20">
        <f>Tabla1[[#This Row],[Cantidad Vendida]]*Tabla1[[#This Row],[Precio Unitario (USD)]]</f>
        <v>2450.7000000000003</v>
      </c>
      <c r="I322" s="21">
        <v>8.24</v>
      </c>
      <c r="J322" s="5">
        <f t="shared" si="14"/>
        <v>20193.768000000004</v>
      </c>
      <c r="K322" t="str">
        <f>IF(Tabla1[[#This Row],[Venta Total (Q)]] = 0, "Sin ventas", "Con ventas")</f>
        <v>Con ventas</v>
      </c>
      <c r="L322" s="20">
        <f t="shared" ref="L322:L385" si="15">IF(G322&gt;0, G322*0.7, "")</f>
        <v>95.304999999999993</v>
      </c>
      <c r="M322" s="20">
        <f t="shared" ref="M322:M385" si="16">F322 * L322</f>
        <v>1715.4899999999998</v>
      </c>
      <c r="N322" s="20">
        <f>Tabla1[[#This Row],[Venta Total (USD)]] - Tabla1[[#This Row],[Costo Total (USD)]]</f>
        <v>735.21000000000049</v>
      </c>
    </row>
    <row r="323" spans="1:14" x14ac:dyDescent="0.25">
      <c r="A323" t="s">
        <v>20</v>
      </c>
      <c r="B323" t="s">
        <v>28</v>
      </c>
      <c r="C323" t="s">
        <v>29</v>
      </c>
      <c r="D323">
        <v>2022</v>
      </c>
      <c r="E323">
        <v>1</v>
      </c>
      <c r="F323">
        <v>12</v>
      </c>
      <c r="G323" s="20">
        <v>96.87</v>
      </c>
      <c r="H323" s="20">
        <f>Tabla1[[#This Row],[Cantidad Vendida]]*Tabla1[[#This Row],[Precio Unitario (USD)]]</f>
        <v>1162.44</v>
      </c>
      <c r="I323" s="21">
        <v>8.4600000000000009</v>
      </c>
      <c r="J323" s="5">
        <f t="shared" ref="J323:J386" si="17">H323 * I323</f>
        <v>9834.242400000001</v>
      </c>
      <c r="K323" t="str">
        <f>IF(Tabla1[[#This Row],[Venta Total (Q)]] = 0, "Sin ventas", "Con ventas")</f>
        <v>Con ventas</v>
      </c>
      <c r="L323" s="20">
        <f t="shared" si="15"/>
        <v>67.808999999999997</v>
      </c>
      <c r="M323" s="20">
        <f t="shared" si="16"/>
        <v>813.70799999999997</v>
      </c>
      <c r="N323" s="20">
        <f>Tabla1[[#This Row],[Venta Total (USD)]] - Tabla1[[#This Row],[Costo Total (USD)]]</f>
        <v>348.73200000000008</v>
      </c>
    </row>
    <row r="324" spans="1:14" x14ac:dyDescent="0.25">
      <c r="A324" t="s">
        <v>15</v>
      </c>
      <c r="B324" t="s">
        <v>21</v>
      </c>
      <c r="C324" t="s">
        <v>22</v>
      </c>
      <c r="D324">
        <v>2023</v>
      </c>
      <c r="E324">
        <v>4</v>
      </c>
      <c r="F324">
        <v>9</v>
      </c>
      <c r="G324" s="20">
        <v>467.41</v>
      </c>
      <c r="H324" s="20">
        <f>Tabla1[[#This Row],[Cantidad Vendida]]*Tabla1[[#This Row],[Precio Unitario (USD)]]</f>
        <v>4206.6900000000005</v>
      </c>
      <c r="I324" s="21">
        <v>8.4700000000000006</v>
      </c>
      <c r="J324" s="5">
        <f t="shared" si="17"/>
        <v>35630.664300000004</v>
      </c>
      <c r="K324" t="str">
        <f>IF(Tabla1[[#This Row],[Venta Total (Q)]] = 0, "Sin ventas", "Con ventas")</f>
        <v>Con ventas</v>
      </c>
      <c r="L324" s="20">
        <f t="shared" si="15"/>
        <v>327.18700000000001</v>
      </c>
      <c r="M324" s="20">
        <f t="shared" si="16"/>
        <v>2944.683</v>
      </c>
      <c r="N324" s="20">
        <f>Tabla1[[#This Row],[Venta Total (USD)]] - Tabla1[[#This Row],[Costo Total (USD)]]</f>
        <v>1262.0070000000005</v>
      </c>
    </row>
    <row r="325" spans="1:14" x14ac:dyDescent="0.25">
      <c r="A325" t="s">
        <v>35</v>
      </c>
      <c r="B325" t="s">
        <v>13</v>
      </c>
      <c r="C325" t="s">
        <v>27</v>
      </c>
      <c r="D325">
        <v>2023</v>
      </c>
      <c r="E325">
        <v>6</v>
      </c>
      <c r="F325">
        <v>9</v>
      </c>
      <c r="G325" s="20">
        <v>259.8</v>
      </c>
      <c r="H325" s="20">
        <f>Tabla1[[#This Row],[Cantidad Vendida]]*Tabla1[[#This Row],[Precio Unitario (USD)]]</f>
        <v>2338.2000000000003</v>
      </c>
      <c r="I325" s="21">
        <v>8.0399999999999991</v>
      </c>
      <c r="J325" s="5">
        <f t="shared" si="17"/>
        <v>18799.128000000001</v>
      </c>
      <c r="K325" t="str">
        <f>IF(Tabla1[[#This Row],[Venta Total (Q)]] = 0, "Sin ventas", "Con ventas")</f>
        <v>Con ventas</v>
      </c>
      <c r="L325" s="20">
        <f t="shared" si="15"/>
        <v>181.85999999999999</v>
      </c>
      <c r="M325" s="20">
        <f t="shared" si="16"/>
        <v>1636.7399999999998</v>
      </c>
      <c r="N325" s="20">
        <f>Tabla1[[#This Row],[Venta Total (USD)]] - Tabla1[[#This Row],[Costo Total (USD)]]</f>
        <v>701.46000000000049</v>
      </c>
    </row>
    <row r="326" spans="1:14" x14ac:dyDescent="0.25">
      <c r="A326" t="s">
        <v>20</v>
      </c>
      <c r="B326" t="s">
        <v>21</v>
      </c>
      <c r="C326" t="s">
        <v>34</v>
      </c>
      <c r="D326">
        <v>2023</v>
      </c>
      <c r="E326">
        <v>1</v>
      </c>
      <c r="F326">
        <v>1</v>
      </c>
      <c r="G326" s="20">
        <v>229.43</v>
      </c>
      <c r="H326" s="20">
        <f>Tabla1[[#This Row],[Cantidad Vendida]]*Tabla1[[#This Row],[Precio Unitario (USD)]]</f>
        <v>229.43</v>
      </c>
      <c r="I326" s="21">
        <v>8.42</v>
      </c>
      <c r="J326" s="5">
        <f t="shared" si="17"/>
        <v>1931.8006</v>
      </c>
      <c r="K326" t="str">
        <f>IF(Tabla1[[#This Row],[Venta Total (Q)]] = 0, "Sin ventas", "Con ventas")</f>
        <v>Con ventas</v>
      </c>
      <c r="L326" s="20">
        <f t="shared" si="15"/>
        <v>160.601</v>
      </c>
      <c r="M326" s="20">
        <f t="shared" si="16"/>
        <v>160.601</v>
      </c>
      <c r="N326" s="20">
        <f>Tabla1[[#This Row],[Venta Total (USD)]] - Tabla1[[#This Row],[Costo Total (USD)]]</f>
        <v>68.829000000000008</v>
      </c>
    </row>
    <row r="327" spans="1:14" x14ac:dyDescent="0.25">
      <c r="A327" t="s">
        <v>20</v>
      </c>
      <c r="B327" t="s">
        <v>17</v>
      </c>
      <c r="C327" t="s">
        <v>19</v>
      </c>
      <c r="D327">
        <v>2024</v>
      </c>
      <c r="E327">
        <v>11</v>
      </c>
      <c r="F327">
        <v>19</v>
      </c>
      <c r="G327" s="20">
        <v>149.27000000000001</v>
      </c>
      <c r="H327" s="20">
        <f>Tabla1[[#This Row],[Cantidad Vendida]]*Tabla1[[#This Row],[Precio Unitario (USD)]]</f>
        <v>2836.13</v>
      </c>
      <c r="I327" s="21">
        <v>7.88</v>
      </c>
      <c r="J327" s="5">
        <f t="shared" si="17"/>
        <v>22348.704400000002</v>
      </c>
      <c r="K327" t="str">
        <f>IF(Tabla1[[#This Row],[Venta Total (Q)]] = 0, "Sin ventas", "Con ventas")</f>
        <v>Con ventas</v>
      </c>
      <c r="L327" s="20">
        <f t="shared" si="15"/>
        <v>104.489</v>
      </c>
      <c r="M327" s="20">
        <f t="shared" si="16"/>
        <v>1985.2910000000002</v>
      </c>
      <c r="N327" s="20">
        <f>Tabla1[[#This Row],[Venta Total (USD)]] - Tabla1[[#This Row],[Costo Total (USD)]]</f>
        <v>850.83899999999994</v>
      </c>
    </row>
    <row r="328" spans="1:14" x14ac:dyDescent="0.25">
      <c r="A328" t="s">
        <v>31</v>
      </c>
      <c r="B328" t="s">
        <v>17</v>
      </c>
      <c r="C328" t="s">
        <v>33</v>
      </c>
      <c r="D328">
        <v>2022</v>
      </c>
      <c r="E328">
        <v>4</v>
      </c>
      <c r="F328">
        <v>2</v>
      </c>
      <c r="G328" s="20">
        <v>374.19</v>
      </c>
      <c r="H328" s="20">
        <f>Tabla1[[#This Row],[Cantidad Vendida]]*Tabla1[[#This Row],[Precio Unitario (USD)]]</f>
        <v>748.38</v>
      </c>
      <c r="I328" s="21">
        <v>7.93</v>
      </c>
      <c r="J328" s="5">
        <f t="shared" si="17"/>
        <v>5934.6534000000001</v>
      </c>
      <c r="K328" t="str">
        <f>IF(Tabla1[[#This Row],[Venta Total (Q)]] = 0, "Sin ventas", "Con ventas")</f>
        <v>Con ventas</v>
      </c>
      <c r="L328" s="20">
        <f t="shared" si="15"/>
        <v>261.93299999999999</v>
      </c>
      <c r="M328" s="20">
        <f t="shared" si="16"/>
        <v>523.86599999999999</v>
      </c>
      <c r="N328" s="20">
        <f>Tabla1[[#This Row],[Venta Total (USD)]] - Tabla1[[#This Row],[Costo Total (USD)]]</f>
        <v>224.51400000000001</v>
      </c>
    </row>
    <row r="329" spans="1:14" x14ac:dyDescent="0.25">
      <c r="A329" t="s">
        <v>35</v>
      </c>
      <c r="B329" t="s">
        <v>21</v>
      </c>
      <c r="C329" t="s">
        <v>24</v>
      </c>
      <c r="D329">
        <v>2023</v>
      </c>
      <c r="E329">
        <v>1</v>
      </c>
      <c r="F329">
        <v>16</v>
      </c>
      <c r="G329" s="20">
        <v>51.92</v>
      </c>
      <c r="H329" s="20">
        <f>Tabla1[[#This Row],[Cantidad Vendida]]*Tabla1[[#This Row],[Precio Unitario (USD)]]</f>
        <v>830.72</v>
      </c>
      <c r="I329" s="21">
        <v>7.55</v>
      </c>
      <c r="J329" s="5">
        <f t="shared" si="17"/>
        <v>6271.9359999999997</v>
      </c>
      <c r="K329" t="str">
        <f>IF(Tabla1[[#This Row],[Venta Total (Q)]] = 0, "Sin ventas", "Con ventas")</f>
        <v>Con ventas</v>
      </c>
      <c r="L329" s="20">
        <f t="shared" si="15"/>
        <v>36.344000000000001</v>
      </c>
      <c r="M329" s="20">
        <f t="shared" si="16"/>
        <v>581.50400000000002</v>
      </c>
      <c r="N329" s="20">
        <f>Tabla1[[#This Row],[Venta Total (USD)]] - Tabla1[[#This Row],[Costo Total (USD)]]</f>
        <v>249.21600000000001</v>
      </c>
    </row>
    <row r="330" spans="1:14" x14ac:dyDescent="0.25">
      <c r="A330" t="s">
        <v>20</v>
      </c>
      <c r="B330" t="s">
        <v>13</v>
      </c>
      <c r="C330" t="s">
        <v>36</v>
      </c>
      <c r="D330">
        <v>2024</v>
      </c>
      <c r="E330">
        <v>3</v>
      </c>
      <c r="F330">
        <v>15</v>
      </c>
      <c r="G330" s="20">
        <v>329.2</v>
      </c>
      <c r="H330" s="20">
        <f>Tabla1[[#This Row],[Cantidad Vendida]]*Tabla1[[#This Row],[Precio Unitario (USD)]]</f>
        <v>4938</v>
      </c>
      <c r="I330" s="21">
        <v>7.59</v>
      </c>
      <c r="J330" s="5">
        <f t="shared" si="17"/>
        <v>37479.42</v>
      </c>
      <c r="K330" t="str">
        <f>IF(Tabla1[[#This Row],[Venta Total (Q)]] = 0, "Sin ventas", "Con ventas")</f>
        <v>Con ventas</v>
      </c>
      <c r="L330" s="20">
        <f t="shared" si="15"/>
        <v>230.43999999999997</v>
      </c>
      <c r="M330" s="20">
        <f t="shared" si="16"/>
        <v>3456.5999999999995</v>
      </c>
      <c r="N330" s="20">
        <f>Tabla1[[#This Row],[Venta Total (USD)]] - Tabla1[[#This Row],[Costo Total (USD)]]</f>
        <v>1481.4000000000005</v>
      </c>
    </row>
    <row r="331" spans="1:14" x14ac:dyDescent="0.25">
      <c r="A331" t="s">
        <v>20</v>
      </c>
      <c r="B331" t="s">
        <v>21</v>
      </c>
      <c r="C331" t="s">
        <v>22</v>
      </c>
      <c r="D331">
        <v>2024</v>
      </c>
      <c r="E331">
        <v>7</v>
      </c>
      <c r="F331">
        <v>15</v>
      </c>
      <c r="G331" s="20">
        <v>303.01</v>
      </c>
      <c r="H331" s="20">
        <f>Tabla1[[#This Row],[Cantidad Vendida]]*Tabla1[[#This Row],[Precio Unitario (USD)]]</f>
        <v>4545.1499999999996</v>
      </c>
      <c r="I331" s="21">
        <v>7.83</v>
      </c>
      <c r="J331" s="5">
        <f t="shared" si="17"/>
        <v>35588.5245</v>
      </c>
      <c r="K331" t="str">
        <f>IF(Tabla1[[#This Row],[Venta Total (Q)]] = 0, "Sin ventas", "Con ventas")</f>
        <v>Con ventas</v>
      </c>
      <c r="L331" s="20">
        <f t="shared" si="15"/>
        <v>212.10699999999997</v>
      </c>
      <c r="M331" s="20">
        <f t="shared" si="16"/>
        <v>3181.6049999999996</v>
      </c>
      <c r="N331" s="20">
        <f>Tabla1[[#This Row],[Venta Total (USD)]] - Tabla1[[#This Row],[Costo Total (USD)]]</f>
        <v>1363.5450000000001</v>
      </c>
    </row>
    <row r="332" spans="1:14" x14ac:dyDescent="0.25">
      <c r="A332" t="s">
        <v>31</v>
      </c>
      <c r="B332" t="s">
        <v>28</v>
      </c>
      <c r="C332" t="s">
        <v>40</v>
      </c>
      <c r="D332">
        <v>2024</v>
      </c>
      <c r="E332">
        <v>9</v>
      </c>
      <c r="F332">
        <v>15</v>
      </c>
      <c r="G332" s="20">
        <v>120.9</v>
      </c>
      <c r="H332" s="20">
        <f>Tabla1[[#This Row],[Cantidad Vendida]]*Tabla1[[#This Row],[Precio Unitario (USD)]]</f>
        <v>1813.5</v>
      </c>
      <c r="I332" s="21">
        <v>7.84</v>
      </c>
      <c r="J332" s="5">
        <f t="shared" si="17"/>
        <v>14217.84</v>
      </c>
      <c r="K332" t="str">
        <f>IF(Tabla1[[#This Row],[Venta Total (Q)]] = 0, "Sin ventas", "Con ventas")</f>
        <v>Con ventas</v>
      </c>
      <c r="L332" s="20">
        <f t="shared" si="15"/>
        <v>84.63</v>
      </c>
      <c r="M332" s="20">
        <f t="shared" si="16"/>
        <v>1269.4499999999998</v>
      </c>
      <c r="N332" s="20">
        <f>Tabla1[[#This Row],[Venta Total (USD)]] - Tabla1[[#This Row],[Costo Total (USD)]]</f>
        <v>544.05000000000018</v>
      </c>
    </row>
    <row r="333" spans="1:14" x14ac:dyDescent="0.25">
      <c r="A333" t="s">
        <v>35</v>
      </c>
      <c r="B333" t="s">
        <v>17</v>
      </c>
      <c r="C333" t="s">
        <v>19</v>
      </c>
      <c r="D333">
        <v>2022</v>
      </c>
      <c r="E333">
        <v>6</v>
      </c>
      <c r="F333">
        <v>12</v>
      </c>
      <c r="G333" s="20">
        <v>105.23</v>
      </c>
      <c r="H333" s="20">
        <f>Tabla1[[#This Row],[Cantidad Vendida]]*Tabla1[[#This Row],[Precio Unitario (USD)]]</f>
        <v>1262.76</v>
      </c>
      <c r="I333" s="21">
        <v>7.52</v>
      </c>
      <c r="J333" s="5">
        <f t="shared" si="17"/>
        <v>9495.9551999999985</v>
      </c>
      <c r="K333" t="str">
        <f>IF(Tabla1[[#This Row],[Venta Total (Q)]] = 0, "Sin ventas", "Con ventas")</f>
        <v>Con ventas</v>
      </c>
      <c r="L333" s="20">
        <f t="shared" si="15"/>
        <v>73.661000000000001</v>
      </c>
      <c r="M333" s="20">
        <f t="shared" si="16"/>
        <v>883.93200000000002</v>
      </c>
      <c r="N333" s="20">
        <f>Tabla1[[#This Row],[Venta Total (USD)]] - Tabla1[[#This Row],[Costo Total (USD)]]</f>
        <v>378.82799999999997</v>
      </c>
    </row>
    <row r="334" spans="1:14" x14ac:dyDescent="0.25">
      <c r="A334" t="s">
        <v>20</v>
      </c>
      <c r="B334" t="s">
        <v>11</v>
      </c>
      <c r="C334" t="s">
        <v>23</v>
      </c>
      <c r="D334">
        <v>2025</v>
      </c>
      <c r="E334">
        <v>7</v>
      </c>
      <c r="F334">
        <v>5</v>
      </c>
      <c r="G334" s="20">
        <v>65.87</v>
      </c>
      <c r="H334" s="20">
        <f>Tabla1[[#This Row],[Cantidad Vendida]]*Tabla1[[#This Row],[Precio Unitario (USD)]]</f>
        <v>329.35</v>
      </c>
      <c r="I334" s="21">
        <v>7.86</v>
      </c>
      <c r="J334" s="5">
        <f t="shared" si="17"/>
        <v>2588.6910000000003</v>
      </c>
      <c r="K334" t="str">
        <f>IF(Tabla1[[#This Row],[Venta Total (Q)]] = 0, "Sin ventas", "Con ventas")</f>
        <v>Con ventas</v>
      </c>
      <c r="L334" s="20">
        <f t="shared" si="15"/>
        <v>46.109000000000002</v>
      </c>
      <c r="M334" s="20">
        <f t="shared" si="16"/>
        <v>230.54500000000002</v>
      </c>
      <c r="N334" s="20">
        <f>Tabla1[[#This Row],[Venta Total (USD)]] - Tabla1[[#This Row],[Costo Total (USD)]]</f>
        <v>98.805000000000007</v>
      </c>
    </row>
    <row r="335" spans="1:14" x14ac:dyDescent="0.25">
      <c r="A335" t="s">
        <v>15</v>
      </c>
      <c r="B335" t="s">
        <v>21</v>
      </c>
      <c r="C335" t="s">
        <v>24</v>
      </c>
      <c r="D335">
        <v>2022</v>
      </c>
      <c r="E335">
        <v>11</v>
      </c>
      <c r="F335">
        <v>11</v>
      </c>
      <c r="G335" s="20">
        <v>323.69</v>
      </c>
      <c r="H335" s="20">
        <f>Tabla1[[#This Row],[Cantidad Vendida]]*Tabla1[[#This Row],[Precio Unitario (USD)]]</f>
        <v>3560.59</v>
      </c>
      <c r="I335" s="21">
        <v>7.63</v>
      </c>
      <c r="J335" s="5">
        <f t="shared" si="17"/>
        <v>27167.3017</v>
      </c>
      <c r="K335" t="str">
        <f>IF(Tabla1[[#This Row],[Venta Total (Q)]] = 0, "Sin ventas", "Con ventas")</f>
        <v>Con ventas</v>
      </c>
      <c r="L335" s="20">
        <f t="shared" si="15"/>
        <v>226.58299999999997</v>
      </c>
      <c r="M335" s="20">
        <f t="shared" si="16"/>
        <v>2492.4129999999996</v>
      </c>
      <c r="N335" s="20">
        <f>Tabla1[[#This Row],[Venta Total (USD)]] - Tabla1[[#This Row],[Costo Total (USD)]]</f>
        <v>1068.1770000000006</v>
      </c>
    </row>
    <row r="336" spans="1:14" x14ac:dyDescent="0.25">
      <c r="A336" t="s">
        <v>16</v>
      </c>
      <c r="B336" t="s">
        <v>28</v>
      </c>
      <c r="C336" t="s">
        <v>38</v>
      </c>
      <c r="D336">
        <v>2022</v>
      </c>
      <c r="E336">
        <v>8</v>
      </c>
      <c r="F336">
        <v>20</v>
      </c>
      <c r="G336" s="20">
        <v>115.67</v>
      </c>
      <c r="H336" s="20">
        <f>Tabla1[[#This Row],[Cantidad Vendida]]*Tabla1[[#This Row],[Precio Unitario (USD)]]</f>
        <v>2313.4</v>
      </c>
      <c r="I336" s="21">
        <v>7.98</v>
      </c>
      <c r="J336" s="5">
        <f t="shared" si="17"/>
        <v>18460.932000000001</v>
      </c>
      <c r="K336" t="str">
        <f>IF(Tabla1[[#This Row],[Venta Total (Q)]] = 0, "Sin ventas", "Con ventas")</f>
        <v>Con ventas</v>
      </c>
      <c r="L336" s="20">
        <f t="shared" si="15"/>
        <v>80.968999999999994</v>
      </c>
      <c r="M336" s="20">
        <f t="shared" si="16"/>
        <v>1619.3799999999999</v>
      </c>
      <c r="N336" s="20">
        <f>Tabla1[[#This Row],[Venta Total (USD)]] - Tabla1[[#This Row],[Costo Total (USD)]]</f>
        <v>694.02000000000021</v>
      </c>
    </row>
    <row r="337" spans="1:14" x14ac:dyDescent="0.25">
      <c r="A337" t="s">
        <v>10</v>
      </c>
      <c r="B337" t="s">
        <v>17</v>
      </c>
      <c r="C337" t="s">
        <v>33</v>
      </c>
      <c r="D337">
        <v>2024</v>
      </c>
      <c r="E337">
        <v>8</v>
      </c>
      <c r="F337">
        <v>15</v>
      </c>
      <c r="G337" s="20">
        <v>168.69</v>
      </c>
      <c r="H337" s="20">
        <f>Tabla1[[#This Row],[Cantidad Vendida]]*Tabla1[[#This Row],[Precio Unitario (USD)]]</f>
        <v>2530.35</v>
      </c>
      <c r="I337" s="21">
        <v>7.64</v>
      </c>
      <c r="J337" s="5">
        <f t="shared" si="17"/>
        <v>19331.874</v>
      </c>
      <c r="K337" t="str">
        <f>IF(Tabla1[[#This Row],[Venta Total (Q)]] = 0, "Sin ventas", "Con ventas")</f>
        <v>Con ventas</v>
      </c>
      <c r="L337" s="20">
        <f t="shared" si="15"/>
        <v>118.08299999999998</v>
      </c>
      <c r="M337" s="20">
        <f t="shared" si="16"/>
        <v>1771.2449999999997</v>
      </c>
      <c r="N337" s="20">
        <f>Tabla1[[#This Row],[Venta Total (USD)]] - Tabla1[[#This Row],[Costo Total (USD)]]</f>
        <v>759.10500000000025</v>
      </c>
    </row>
    <row r="338" spans="1:14" x14ac:dyDescent="0.25">
      <c r="A338" t="s">
        <v>15</v>
      </c>
      <c r="B338" t="s">
        <v>21</v>
      </c>
      <c r="C338" t="s">
        <v>34</v>
      </c>
      <c r="D338">
        <v>2022</v>
      </c>
      <c r="E338">
        <v>5</v>
      </c>
      <c r="F338">
        <v>13</v>
      </c>
      <c r="G338" s="20">
        <v>360.51</v>
      </c>
      <c r="H338" s="20">
        <f>Tabla1[[#This Row],[Cantidad Vendida]]*Tabla1[[#This Row],[Precio Unitario (USD)]]</f>
        <v>4686.63</v>
      </c>
      <c r="I338" s="21">
        <v>8.19</v>
      </c>
      <c r="J338" s="5">
        <f t="shared" si="17"/>
        <v>38383.4997</v>
      </c>
      <c r="K338" t="str">
        <f>IF(Tabla1[[#This Row],[Venta Total (Q)]] = 0, "Sin ventas", "Con ventas")</f>
        <v>Con ventas</v>
      </c>
      <c r="L338" s="20">
        <f t="shared" si="15"/>
        <v>252.35699999999997</v>
      </c>
      <c r="M338" s="20">
        <f t="shared" si="16"/>
        <v>3280.6409999999996</v>
      </c>
      <c r="N338" s="20">
        <f>Tabla1[[#This Row],[Venta Total (USD)]] - Tabla1[[#This Row],[Costo Total (USD)]]</f>
        <v>1405.9890000000005</v>
      </c>
    </row>
    <row r="339" spans="1:14" x14ac:dyDescent="0.25">
      <c r="A339" t="s">
        <v>20</v>
      </c>
      <c r="B339" t="s">
        <v>11</v>
      </c>
      <c r="C339" t="s">
        <v>12</v>
      </c>
      <c r="D339">
        <v>2024</v>
      </c>
      <c r="E339">
        <v>12</v>
      </c>
      <c r="F339">
        <v>19</v>
      </c>
      <c r="G339" s="20">
        <v>175.02</v>
      </c>
      <c r="H339" s="20">
        <f>Tabla1[[#This Row],[Cantidad Vendida]]*Tabla1[[#This Row],[Precio Unitario (USD)]]</f>
        <v>3325.38</v>
      </c>
      <c r="I339" s="21">
        <v>7.64</v>
      </c>
      <c r="J339" s="5">
        <f t="shared" si="17"/>
        <v>25405.903200000001</v>
      </c>
      <c r="K339" t="str">
        <f>IF(Tabla1[[#This Row],[Venta Total (Q)]] = 0, "Sin ventas", "Con ventas")</f>
        <v>Con ventas</v>
      </c>
      <c r="L339" s="20">
        <f t="shared" si="15"/>
        <v>122.514</v>
      </c>
      <c r="M339" s="20">
        <f t="shared" si="16"/>
        <v>2327.7660000000001</v>
      </c>
      <c r="N339" s="20">
        <f>Tabla1[[#This Row],[Venta Total (USD)]] - Tabla1[[#This Row],[Costo Total (USD)]]</f>
        <v>997.61400000000003</v>
      </c>
    </row>
    <row r="340" spans="1:14" x14ac:dyDescent="0.25">
      <c r="A340" t="s">
        <v>10</v>
      </c>
      <c r="B340" t="s">
        <v>17</v>
      </c>
      <c r="C340" t="s">
        <v>18</v>
      </c>
      <c r="D340">
        <v>2024</v>
      </c>
      <c r="E340">
        <v>6</v>
      </c>
      <c r="F340">
        <v>11</v>
      </c>
      <c r="G340" s="20">
        <v>341.52</v>
      </c>
      <c r="H340" s="20">
        <f>Tabla1[[#This Row],[Cantidad Vendida]]*Tabla1[[#This Row],[Precio Unitario (USD)]]</f>
        <v>3756.72</v>
      </c>
      <c r="I340" s="21">
        <v>8.39</v>
      </c>
      <c r="J340" s="5">
        <f t="shared" si="17"/>
        <v>31518.880799999999</v>
      </c>
      <c r="K340" t="str">
        <f>IF(Tabla1[[#This Row],[Venta Total (Q)]] = 0, "Sin ventas", "Con ventas")</f>
        <v>Con ventas</v>
      </c>
      <c r="L340" s="20">
        <f t="shared" si="15"/>
        <v>239.06399999999996</v>
      </c>
      <c r="M340" s="20">
        <f t="shared" si="16"/>
        <v>2629.7039999999997</v>
      </c>
      <c r="N340" s="20">
        <f>Tabla1[[#This Row],[Venta Total (USD)]] - Tabla1[[#This Row],[Costo Total (USD)]]</f>
        <v>1127.0160000000001</v>
      </c>
    </row>
    <row r="341" spans="1:14" x14ac:dyDescent="0.25">
      <c r="A341" t="s">
        <v>20</v>
      </c>
      <c r="B341" t="s">
        <v>13</v>
      </c>
      <c r="C341" t="s">
        <v>14</v>
      </c>
      <c r="D341">
        <v>2022</v>
      </c>
      <c r="E341">
        <v>12</v>
      </c>
      <c r="F341">
        <v>11</v>
      </c>
      <c r="G341" s="20">
        <v>143.28</v>
      </c>
      <c r="H341" s="20">
        <f>Tabla1[[#This Row],[Cantidad Vendida]]*Tabla1[[#This Row],[Precio Unitario (USD)]]</f>
        <v>1576.08</v>
      </c>
      <c r="I341" s="21">
        <v>7.58</v>
      </c>
      <c r="J341" s="5">
        <f t="shared" si="17"/>
        <v>11946.686399999999</v>
      </c>
      <c r="K341" t="str">
        <f>IF(Tabla1[[#This Row],[Venta Total (Q)]] = 0, "Sin ventas", "Con ventas")</f>
        <v>Con ventas</v>
      </c>
      <c r="L341" s="20">
        <f t="shared" si="15"/>
        <v>100.29599999999999</v>
      </c>
      <c r="M341" s="20">
        <f t="shared" si="16"/>
        <v>1103.2559999999999</v>
      </c>
      <c r="N341" s="20">
        <f>Tabla1[[#This Row],[Venta Total (USD)]] - Tabla1[[#This Row],[Costo Total (USD)]]</f>
        <v>472.82400000000007</v>
      </c>
    </row>
    <row r="342" spans="1:14" x14ac:dyDescent="0.25">
      <c r="A342" t="s">
        <v>35</v>
      </c>
      <c r="B342" t="s">
        <v>11</v>
      </c>
      <c r="C342" t="s">
        <v>25</v>
      </c>
      <c r="D342">
        <v>2025</v>
      </c>
      <c r="E342">
        <v>5</v>
      </c>
      <c r="F342">
        <v>9</v>
      </c>
      <c r="G342" s="20">
        <v>14.5</v>
      </c>
      <c r="H342" s="20">
        <f>Tabla1[[#This Row],[Cantidad Vendida]]*Tabla1[[#This Row],[Precio Unitario (USD)]]</f>
        <v>130.5</v>
      </c>
      <c r="I342" s="21">
        <v>8.48</v>
      </c>
      <c r="J342" s="5">
        <f t="shared" si="17"/>
        <v>1106.6400000000001</v>
      </c>
      <c r="K342" t="str">
        <f>IF(Tabla1[[#This Row],[Venta Total (Q)]] = 0, "Sin ventas", "Con ventas")</f>
        <v>Con ventas</v>
      </c>
      <c r="L342" s="20">
        <f t="shared" si="15"/>
        <v>10.149999999999999</v>
      </c>
      <c r="M342" s="20">
        <f t="shared" si="16"/>
        <v>91.35</v>
      </c>
      <c r="N342" s="20">
        <f>Tabla1[[#This Row],[Venta Total (USD)]] - Tabla1[[#This Row],[Costo Total (USD)]]</f>
        <v>39.150000000000006</v>
      </c>
    </row>
    <row r="343" spans="1:14" x14ac:dyDescent="0.25">
      <c r="A343" t="s">
        <v>35</v>
      </c>
      <c r="B343" t="s">
        <v>13</v>
      </c>
      <c r="C343" t="s">
        <v>14</v>
      </c>
      <c r="D343">
        <v>2023</v>
      </c>
      <c r="E343">
        <v>6</v>
      </c>
      <c r="F343">
        <v>10</v>
      </c>
      <c r="G343" s="20">
        <v>317.98</v>
      </c>
      <c r="H343" s="20">
        <f>Tabla1[[#This Row],[Cantidad Vendida]]*Tabla1[[#This Row],[Precio Unitario (USD)]]</f>
        <v>3179.8</v>
      </c>
      <c r="I343" s="21">
        <v>7.69</v>
      </c>
      <c r="J343" s="5">
        <f t="shared" si="17"/>
        <v>24452.662000000004</v>
      </c>
      <c r="K343" t="str">
        <f>IF(Tabla1[[#This Row],[Venta Total (Q)]] = 0, "Sin ventas", "Con ventas")</f>
        <v>Con ventas</v>
      </c>
      <c r="L343" s="20">
        <f t="shared" si="15"/>
        <v>222.58600000000001</v>
      </c>
      <c r="M343" s="20">
        <f t="shared" si="16"/>
        <v>2225.86</v>
      </c>
      <c r="N343" s="20">
        <f>Tabla1[[#This Row],[Venta Total (USD)]] - Tabla1[[#This Row],[Costo Total (USD)]]</f>
        <v>953.94</v>
      </c>
    </row>
    <row r="344" spans="1:14" x14ac:dyDescent="0.25">
      <c r="A344" t="s">
        <v>20</v>
      </c>
      <c r="B344" t="s">
        <v>13</v>
      </c>
      <c r="C344" t="s">
        <v>30</v>
      </c>
      <c r="D344">
        <v>2024</v>
      </c>
      <c r="E344">
        <v>4</v>
      </c>
      <c r="F344">
        <v>19</v>
      </c>
      <c r="G344" s="20">
        <v>199.71</v>
      </c>
      <c r="H344" s="20">
        <f>Tabla1[[#This Row],[Cantidad Vendida]]*Tabla1[[#This Row],[Precio Unitario (USD)]]</f>
        <v>3794.4900000000002</v>
      </c>
      <c r="I344" s="21">
        <v>8.1</v>
      </c>
      <c r="J344" s="5">
        <f t="shared" si="17"/>
        <v>30735.368999999999</v>
      </c>
      <c r="K344" t="str">
        <f>IF(Tabla1[[#This Row],[Venta Total (Q)]] = 0, "Sin ventas", "Con ventas")</f>
        <v>Con ventas</v>
      </c>
      <c r="L344" s="20">
        <f t="shared" si="15"/>
        <v>139.797</v>
      </c>
      <c r="M344" s="20">
        <f t="shared" si="16"/>
        <v>2656.143</v>
      </c>
      <c r="N344" s="20">
        <f>Tabla1[[#This Row],[Venta Total (USD)]] - Tabla1[[#This Row],[Costo Total (USD)]]</f>
        <v>1138.3470000000002</v>
      </c>
    </row>
    <row r="345" spans="1:14" x14ac:dyDescent="0.25">
      <c r="A345" t="s">
        <v>31</v>
      </c>
      <c r="B345" t="s">
        <v>21</v>
      </c>
      <c r="C345" t="s">
        <v>24</v>
      </c>
      <c r="D345">
        <v>2025</v>
      </c>
      <c r="E345">
        <v>7</v>
      </c>
      <c r="F345">
        <v>9</v>
      </c>
      <c r="G345" s="20">
        <v>309.41000000000003</v>
      </c>
      <c r="H345" s="20">
        <f>Tabla1[[#This Row],[Cantidad Vendida]]*Tabla1[[#This Row],[Precio Unitario (USD)]]</f>
        <v>2784.69</v>
      </c>
      <c r="I345" s="21">
        <v>8.26</v>
      </c>
      <c r="J345" s="5">
        <f t="shared" si="17"/>
        <v>23001.539400000001</v>
      </c>
      <c r="K345" t="str">
        <f>IF(Tabla1[[#This Row],[Venta Total (Q)]] = 0, "Sin ventas", "Con ventas")</f>
        <v>Con ventas</v>
      </c>
      <c r="L345" s="20">
        <f t="shared" si="15"/>
        <v>216.58700000000002</v>
      </c>
      <c r="M345" s="20">
        <f t="shared" si="16"/>
        <v>1949.2830000000001</v>
      </c>
      <c r="N345" s="20">
        <f>Tabla1[[#This Row],[Venta Total (USD)]] - Tabla1[[#This Row],[Costo Total (USD)]]</f>
        <v>835.40699999999993</v>
      </c>
    </row>
    <row r="346" spans="1:14" x14ac:dyDescent="0.25">
      <c r="A346" t="s">
        <v>10</v>
      </c>
      <c r="B346" t="s">
        <v>21</v>
      </c>
      <c r="C346" t="s">
        <v>32</v>
      </c>
      <c r="D346">
        <v>2023</v>
      </c>
      <c r="E346">
        <v>12</v>
      </c>
      <c r="F346">
        <v>8</v>
      </c>
      <c r="G346" s="20">
        <v>108.84</v>
      </c>
      <c r="H346" s="20">
        <f>Tabla1[[#This Row],[Cantidad Vendida]]*Tabla1[[#This Row],[Precio Unitario (USD)]]</f>
        <v>870.72</v>
      </c>
      <c r="I346" s="21">
        <v>8.07</v>
      </c>
      <c r="J346" s="5">
        <f t="shared" si="17"/>
        <v>7026.7104000000008</v>
      </c>
      <c r="K346" t="str">
        <f>IF(Tabla1[[#This Row],[Venta Total (Q)]] = 0, "Sin ventas", "Con ventas")</f>
        <v>Con ventas</v>
      </c>
      <c r="L346" s="20">
        <f t="shared" si="15"/>
        <v>76.188000000000002</v>
      </c>
      <c r="M346" s="20">
        <f t="shared" si="16"/>
        <v>609.50400000000002</v>
      </c>
      <c r="N346" s="20">
        <f>Tabla1[[#This Row],[Venta Total (USD)]] - Tabla1[[#This Row],[Costo Total (USD)]]</f>
        <v>261.21600000000001</v>
      </c>
    </row>
    <row r="347" spans="1:14" x14ac:dyDescent="0.25">
      <c r="A347" t="s">
        <v>10</v>
      </c>
      <c r="B347" t="s">
        <v>17</v>
      </c>
      <c r="C347" t="s">
        <v>33</v>
      </c>
      <c r="D347">
        <v>2025</v>
      </c>
      <c r="E347">
        <v>2</v>
      </c>
      <c r="F347">
        <v>4</v>
      </c>
      <c r="G347" s="20">
        <v>169.57</v>
      </c>
      <c r="H347" s="20">
        <f>Tabla1[[#This Row],[Cantidad Vendida]]*Tabla1[[#This Row],[Precio Unitario (USD)]]</f>
        <v>678.28</v>
      </c>
      <c r="I347" s="21">
        <v>8.34</v>
      </c>
      <c r="J347" s="5">
        <f t="shared" si="17"/>
        <v>5656.8552</v>
      </c>
      <c r="K347" t="str">
        <f>IF(Tabla1[[#This Row],[Venta Total (Q)]] = 0, "Sin ventas", "Con ventas")</f>
        <v>Con ventas</v>
      </c>
      <c r="L347" s="20">
        <f t="shared" si="15"/>
        <v>118.69899999999998</v>
      </c>
      <c r="M347" s="20">
        <f t="shared" si="16"/>
        <v>474.79599999999994</v>
      </c>
      <c r="N347" s="20">
        <f>Tabla1[[#This Row],[Venta Total (USD)]] - Tabla1[[#This Row],[Costo Total (USD)]]</f>
        <v>203.48400000000004</v>
      </c>
    </row>
    <row r="348" spans="1:14" x14ac:dyDescent="0.25">
      <c r="A348" t="s">
        <v>15</v>
      </c>
      <c r="B348" t="s">
        <v>21</v>
      </c>
      <c r="C348" t="s">
        <v>32</v>
      </c>
      <c r="D348">
        <v>2024</v>
      </c>
      <c r="E348">
        <v>6</v>
      </c>
      <c r="F348">
        <v>20</v>
      </c>
      <c r="G348" s="20">
        <v>365.86</v>
      </c>
      <c r="H348" s="20">
        <f>Tabla1[[#This Row],[Cantidad Vendida]]*Tabla1[[#This Row],[Precio Unitario (USD)]]</f>
        <v>7317.2000000000007</v>
      </c>
      <c r="I348" s="21">
        <v>7.93</v>
      </c>
      <c r="J348" s="5">
        <f t="shared" si="17"/>
        <v>58025.396000000001</v>
      </c>
      <c r="K348" t="str">
        <f>IF(Tabla1[[#This Row],[Venta Total (Q)]] = 0, "Sin ventas", "Con ventas")</f>
        <v>Con ventas</v>
      </c>
      <c r="L348" s="20">
        <f t="shared" si="15"/>
        <v>256.10199999999998</v>
      </c>
      <c r="M348" s="20">
        <f t="shared" si="16"/>
        <v>5122.0399999999991</v>
      </c>
      <c r="N348" s="20">
        <f>Tabla1[[#This Row],[Venta Total (USD)]] - Tabla1[[#This Row],[Costo Total (USD)]]</f>
        <v>2195.1600000000017</v>
      </c>
    </row>
    <row r="349" spans="1:14" x14ac:dyDescent="0.25">
      <c r="A349" t="s">
        <v>10</v>
      </c>
      <c r="B349" t="s">
        <v>17</v>
      </c>
      <c r="C349" t="s">
        <v>18</v>
      </c>
      <c r="D349">
        <v>2023</v>
      </c>
      <c r="E349">
        <v>1</v>
      </c>
      <c r="F349">
        <v>10</v>
      </c>
      <c r="G349" s="20">
        <v>453.17</v>
      </c>
      <c r="H349" s="20">
        <f>Tabla1[[#This Row],[Cantidad Vendida]]*Tabla1[[#This Row],[Precio Unitario (USD)]]</f>
        <v>4531.7</v>
      </c>
      <c r="I349" s="21">
        <v>7.96</v>
      </c>
      <c r="J349" s="5">
        <f t="shared" si="17"/>
        <v>36072.331999999995</v>
      </c>
      <c r="K349" t="str">
        <f>IF(Tabla1[[#This Row],[Venta Total (Q)]] = 0, "Sin ventas", "Con ventas")</f>
        <v>Con ventas</v>
      </c>
      <c r="L349" s="20">
        <f t="shared" si="15"/>
        <v>317.21899999999999</v>
      </c>
      <c r="M349" s="20">
        <f t="shared" si="16"/>
        <v>3172.19</v>
      </c>
      <c r="N349" s="20">
        <f>Tabla1[[#This Row],[Venta Total (USD)]] - Tabla1[[#This Row],[Costo Total (USD)]]</f>
        <v>1359.5099999999998</v>
      </c>
    </row>
    <row r="350" spans="1:14" x14ac:dyDescent="0.25">
      <c r="A350" t="s">
        <v>15</v>
      </c>
      <c r="B350" t="s">
        <v>28</v>
      </c>
      <c r="C350" t="s">
        <v>38</v>
      </c>
      <c r="D350">
        <v>2025</v>
      </c>
      <c r="E350">
        <v>6</v>
      </c>
      <c r="F350">
        <v>8</v>
      </c>
      <c r="G350" s="20">
        <v>361.11</v>
      </c>
      <c r="H350" s="20">
        <f>Tabla1[[#This Row],[Cantidad Vendida]]*Tabla1[[#This Row],[Precio Unitario (USD)]]</f>
        <v>2888.88</v>
      </c>
      <c r="I350" s="21">
        <v>7.73</v>
      </c>
      <c r="J350" s="5">
        <f t="shared" si="17"/>
        <v>22331.042400000002</v>
      </c>
      <c r="K350" t="str">
        <f>IF(Tabla1[[#This Row],[Venta Total (Q)]] = 0, "Sin ventas", "Con ventas")</f>
        <v>Con ventas</v>
      </c>
      <c r="L350" s="20">
        <f t="shared" si="15"/>
        <v>252.77699999999999</v>
      </c>
      <c r="M350" s="20">
        <f t="shared" si="16"/>
        <v>2022.2159999999999</v>
      </c>
      <c r="N350" s="20">
        <f>Tabla1[[#This Row],[Venta Total (USD)]] - Tabla1[[#This Row],[Costo Total (USD)]]</f>
        <v>866.66400000000021</v>
      </c>
    </row>
    <row r="351" spans="1:14" x14ac:dyDescent="0.25">
      <c r="A351" t="s">
        <v>15</v>
      </c>
      <c r="B351" t="s">
        <v>13</v>
      </c>
      <c r="C351" t="s">
        <v>30</v>
      </c>
      <c r="D351">
        <v>2023</v>
      </c>
      <c r="E351">
        <v>11</v>
      </c>
      <c r="F351">
        <v>4</v>
      </c>
      <c r="G351" s="20">
        <v>464.39</v>
      </c>
      <c r="H351" s="20">
        <f>Tabla1[[#This Row],[Cantidad Vendida]]*Tabla1[[#This Row],[Precio Unitario (USD)]]</f>
        <v>1857.56</v>
      </c>
      <c r="I351" s="21">
        <v>8.31</v>
      </c>
      <c r="J351" s="5">
        <f t="shared" si="17"/>
        <v>15436.3236</v>
      </c>
      <c r="K351" t="str">
        <f>IF(Tabla1[[#This Row],[Venta Total (Q)]] = 0, "Sin ventas", "Con ventas")</f>
        <v>Con ventas</v>
      </c>
      <c r="L351" s="20">
        <f t="shared" si="15"/>
        <v>325.07299999999998</v>
      </c>
      <c r="M351" s="20">
        <f t="shared" si="16"/>
        <v>1300.2919999999999</v>
      </c>
      <c r="N351" s="20">
        <f>Tabla1[[#This Row],[Venta Total (USD)]] - Tabla1[[#This Row],[Costo Total (USD)]]</f>
        <v>557.26800000000003</v>
      </c>
    </row>
    <row r="352" spans="1:14" x14ac:dyDescent="0.25">
      <c r="A352" t="s">
        <v>10</v>
      </c>
      <c r="B352" t="s">
        <v>17</v>
      </c>
      <c r="C352" t="s">
        <v>26</v>
      </c>
      <c r="D352">
        <v>2022</v>
      </c>
      <c r="E352">
        <v>9</v>
      </c>
      <c r="F352">
        <v>19</v>
      </c>
      <c r="G352" s="20">
        <v>123.26</v>
      </c>
      <c r="H352" s="20">
        <f>Tabla1[[#This Row],[Cantidad Vendida]]*Tabla1[[#This Row],[Precio Unitario (USD)]]</f>
        <v>2341.94</v>
      </c>
      <c r="I352" s="21">
        <v>8.1199999999999992</v>
      </c>
      <c r="J352" s="5">
        <f t="shared" si="17"/>
        <v>19016.552799999998</v>
      </c>
      <c r="K352" t="str">
        <f>IF(Tabla1[[#This Row],[Venta Total (Q)]] = 0, "Sin ventas", "Con ventas")</f>
        <v>Con ventas</v>
      </c>
      <c r="L352" s="20">
        <f t="shared" si="15"/>
        <v>86.281999999999996</v>
      </c>
      <c r="M352" s="20">
        <f t="shared" si="16"/>
        <v>1639.3579999999999</v>
      </c>
      <c r="N352" s="20">
        <f>Tabla1[[#This Row],[Venta Total (USD)]] - Tabla1[[#This Row],[Costo Total (USD)]]</f>
        <v>702.58200000000011</v>
      </c>
    </row>
    <row r="353" spans="1:14" x14ac:dyDescent="0.25">
      <c r="A353" t="s">
        <v>31</v>
      </c>
      <c r="B353" t="s">
        <v>17</v>
      </c>
      <c r="C353" t="s">
        <v>18</v>
      </c>
      <c r="D353">
        <v>2024</v>
      </c>
      <c r="E353">
        <v>5</v>
      </c>
      <c r="F353">
        <v>11</v>
      </c>
      <c r="G353" s="20">
        <v>238.69</v>
      </c>
      <c r="H353" s="20">
        <f>Tabla1[[#This Row],[Cantidad Vendida]]*Tabla1[[#This Row],[Precio Unitario (USD)]]</f>
        <v>2625.59</v>
      </c>
      <c r="I353" s="21">
        <v>8.2899999999999991</v>
      </c>
      <c r="J353" s="5">
        <f t="shared" si="17"/>
        <v>21766.141100000001</v>
      </c>
      <c r="K353" t="str">
        <f>IF(Tabla1[[#This Row],[Venta Total (Q)]] = 0, "Sin ventas", "Con ventas")</f>
        <v>Con ventas</v>
      </c>
      <c r="L353" s="20">
        <f t="shared" si="15"/>
        <v>167.083</v>
      </c>
      <c r="M353" s="20">
        <f t="shared" si="16"/>
        <v>1837.913</v>
      </c>
      <c r="N353" s="20">
        <f>Tabla1[[#This Row],[Venta Total (USD)]] - Tabla1[[#This Row],[Costo Total (USD)]]</f>
        <v>787.67700000000013</v>
      </c>
    </row>
    <row r="354" spans="1:14" x14ac:dyDescent="0.25">
      <c r="A354" t="s">
        <v>35</v>
      </c>
      <c r="B354" t="s">
        <v>21</v>
      </c>
      <c r="C354" t="s">
        <v>22</v>
      </c>
      <c r="D354">
        <v>2024</v>
      </c>
      <c r="E354">
        <v>10</v>
      </c>
      <c r="F354">
        <v>18</v>
      </c>
      <c r="G354" s="20">
        <v>167.54</v>
      </c>
      <c r="H354" s="20">
        <f>Tabla1[[#This Row],[Cantidad Vendida]]*Tabla1[[#This Row],[Precio Unitario (USD)]]</f>
        <v>3015.72</v>
      </c>
      <c r="I354" s="21">
        <v>8.3800000000000008</v>
      </c>
      <c r="J354" s="5">
        <f t="shared" si="17"/>
        <v>25271.7336</v>
      </c>
      <c r="K354" t="str">
        <f>IF(Tabla1[[#This Row],[Venta Total (Q)]] = 0, "Sin ventas", "Con ventas")</f>
        <v>Con ventas</v>
      </c>
      <c r="L354" s="20">
        <f t="shared" si="15"/>
        <v>117.27799999999999</v>
      </c>
      <c r="M354" s="20">
        <f t="shared" si="16"/>
        <v>2111.0039999999999</v>
      </c>
      <c r="N354" s="20">
        <f>Tabla1[[#This Row],[Venta Total (USD)]] - Tabla1[[#This Row],[Costo Total (USD)]]</f>
        <v>904.71599999999989</v>
      </c>
    </row>
    <row r="355" spans="1:14" x14ac:dyDescent="0.25">
      <c r="A355" t="s">
        <v>35</v>
      </c>
      <c r="B355" t="s">
        <v>17</v>
      </c>
      <c r="C355" t="s">
        <v>19</v>
      </c>
      <c r="D355">
        <v>2022</v>
      </c>
      <c r="E355">
        <v>9</v>
      </c>
      <c r="F355">
        <v>12</v>
      </c>
      <c r="G355" s="20">
        <v>496.21</v>
      </c>
      <c r="H355" s="20">
        <f>Tabla1[[#This Row],[Cantidad Vendida]]*Tabla1[[#This Row],[Precio Unitario (USD)]]</f>
        <v>5954.5199999999995</v>
      </c>
      <c r="I355" s="21">
        <v>8.17</v>
      </c>
      <c r="J355" s="5">
        <f t="shared" si="17"/>
        <v>48648.428399999997</v>
      </c>
      <c r="K355" t="str">
        <f>IF(Tabla1[[#This Row],[Venta Total (Q)]] = 0, "Sin ventas", "Con ventas")</f>
        <v>Con ventas</v>
      </c>
      <c r="L355" s="20">
        <f t="shared" si="15"/>
        <v>347.34699999999998</v>
      </c>
      <c r="M355" s="20">
        <f t="shared" si="16"/>
        <v>4168.1639999999998</v>
      </c>
      <c r="N355" s="20">
        <f>Tabla1[[#This Row],[Venta Total (USD)]] - Tabla1[[#This Row],[Costo Total (USD)]]</f>
        <v>1786.3559999999998</v>
      </c>
    </row>
    <row r="356" spans="1:14" x14ac:dyDescent="0.25">
      <c r="A356" t="s">
        <v>31</v>
      </c>
      <c r="B356" t="s">
        <v>21</v>
      </c>
      <c r="C356" t="s">
        <v>24</v>
      </c>
      <c r="D356">
        <v>2025</v>
      </c>
      <c r="E356">
        <v>1</v>
      </c>
      <c r="F356">
        <v>14</v>
      </c>
      <c r="G356" s="20">
        <v>160.16999999999999</v>
      </c>
      <c r="H356" s="20">
        <f>Tabla1[[#This Row],[Cantidad Vendida]]*Tabla1[[#This Row],[Precio Unitario (USD)]]</f>
        <v>2242.3799999999997</v>
      </c>
      <c r="I356" s="21">
        <v>7.73</v>
      </c>
      <c r="J356" s="5">
        <f t="shared" si="17"/>
        <v>17333.597399999999</v>
      </c>
      <c r="K356" t="str">
        <f>IF(Tabla1[[#This Row],[Venta Total (Q)]] = 0, "Sin ventas", "Con ventas")</f>
        <v>Con ventas</v>
      </c>
      <c r="L356" s="20">
        <f t="shared" si="15"/>
        <v>112.11899999999999</v>
      </c>
      <c r="M356" s="20">
        <f t="shared" si="16"/>
        <v>1569.6659999999997</v>
      </c>
      <c r="N356" s="20">
        <f>Tabla1[[#This Row],[Venta Total (USD)]] - Tabla1[[#This Row],[Costo Total (USD)]]</f>
        <v>672.71399999999994</v>
      </c>
    </row>
    <row r="357" spans="1:14" x14ac:dyDescent="0.25">
      <c r="A357" t="s">
        <v>31</v>
      </c>
      <c r="B357" t="s">
        <v>11</v>
      </c>
      <c r="C357" t="s">
        <v>37</v>
      </c>
      <c r="D357">
        <v>2022</v>
      </c>
      <c r="E357">
        <v>10</v>
      </c>
      <c r="F357">
        <v>9</v>
      </c>
      <c r="G357" s="20">
        <v>411.26</v>
      </c>
      <c r="H357" s="20">
        <f>Tabla1[[#This Row],[Cantidad Vendida]]*Tabla1[[#This Row],[Precio Unitario (USD)]]</f>
        <v>3701.34</v>
      </c>
      <c r="I357" s="21">
        <v>8.32</v>
      </c>
      <c r="J357" s="5">
        <f t="shared" si="17"/>
        <v>30795.148800000003</v>
      </c>
      <c r="K357" t="str">
        <f>IF(Tabla1[[#This Row],[Venta Total (Q)]] = 0, "Sin ventas", "Con ventas")</f>
        <v>Con ventas</v>
      </c>
      <c r="L357" s="20">
        <f t="shared" si="15"/>
        <v>287.88199999999995</v>
      </c>
      <c r="M357" s="20">
        <f t="shared" si="16"/>
        <v>2590.9379999999996</v>
      </c>
      <c r="N357" s="20">
        <f>Tabla1[[#This Row],[Venta Total (USD)]] - Tabla1[[#This Row],[Costo Total (USD)]]</f>
        <v>1110.4020000000005</v>
      </c>
    </row>
    <row r="358" spans="1:14" x14ac:dyDescent="0.25">
      <c r="A358" t="s">
        <v>10</v>
      </c>
      <c r="B358" t="s">
        <v>28</v>
      </c>
      <c r="C358" t="s">
        <v>29</v>
      </c>
      <c r="D358">
        <v>2025</v>
      </c>
      <c r="E358">
        <v>2</v>
      </c>
      <c r="F358">
        <v>16</v>
      </c>
      <c r="G358" s="20">
        <v>451</v>
      </c>
      <c r="H358" s="20">
        <f>Tabla1[[#This Row],[Cantidad Vendida]]*Tabla1[[#This Row],[Precio Unitario (USD)]]</f>
        <v>7216</v>
      </c>
      <c r="I358" s="21">
        <v>7.9</v>
      </c>
      <c r="J358" s="5">
        <f t="shared" si="17"/>
        <v>57006.400000000001</v>
      </c>
      <c r="K358" t="str">
        <f>IF(Tabla1[[#This Row],[Venta Total (Q)]] = 0, "Sin ventas", "Con ventas")</f>
        <v>Con ventas</v>
      </c>
      <c r="L358" s="20">
        <f t="shared" si="15"/>
        <v>315.7</v>
      </c>
      <c r="M358" s="20">
        <f t="shared" si="16"/>
        <v>5051.2</v>
      </c>
      <c r="N358" s="20">
        <f>Tabla1[[#This Row],[Venta Total (USD)]] - Tabla1[[#This Row],[Costo Total (USD)]]</f>
        <v>2164.8000000000002</v>
      </c>
    </row>
    <row r="359" spans="1:14" x14ac:dyDescent="0.25">
      <c r="A359" t="s">
        <v>20</v>
      </c>
      <c r="B359" t="s">
        <v>13</v>
      </c>
      <c r="C359" t="s">
        <v>14</v>
      </c>
      <c r="D359">
        <v>2024</v>
      </c>
      <c r="E359">
        <v>5</v>
      </c>
      <c r="F359">
        <v>9</v>
      </c>
      <c r="G359" s="20">
        <v>122.2</v>
      </c>
      <c r="H359" s="20">
        <f>Tabla1[[#This Row],[Cantidad Vendida]]*Tabla1[[#This Row],[Precio Unitario (USD)]]</f>
        <v>1099.8</v>
      </c>
      <c r="I359" s="21">
        <v>8.26</v>
      </c>
      <c r="J359" s="5">
        <f t="shared" si="17"/>
        <v>9084.348</v>
      </c>
      <c r="K359" t="str">
        <f>IF(Tabla1[[#This Row],[Venta Total (Q)]] = 0, "Sin ventas", "Con ventas")</f>
        <v>Con ventas</v>
      </c>
      <c r="L359" s="20">
        <f t="shared" si="15"/>
        <v>85.539999999999992</v>
      </c>
      <c r="M359" s="20">
        <f t="shared" si="16"/>
        <v>769.8599999999999</v>
      </c>
      <c r="N359" s="20">
        <f>Tabla1[[#This Row],[Venta Total (USD)]] - Tabla1[[#This Row],[Costo Total (USD)]]</f>
        <v>329.94000000000005</v>
      </c>
    </row>
    <row r="360" spans="1:14" x14ac:dyDescent="0.25">
      <c r="A360" t="s">
        <v>16</v>
      </c>
      <c r="B360" t="s">
        <v>11</v>
      </c>
      <c r="C360" t="s">
        <v>25</v>
      </c>
      <c r="D360">
        <v>2025</v>
      </c>
      <c r="E360">
        <v>10</v>
      </c>
      <c r="F360">
        <v>14</v>
      </c>
      <c r="G360" s="20">
        <v>472.06</v>
      </c>
      <c r="H360" s="20">
        <f>Tabla1[[#This Row],[Cantidad Vendida]]*Tabla1[[#This Row],[Precio Unitario (USD)]]</f>
        <v>6608.84</v>
      </c>
      <c r="I360" s="21">
        <v>8.48</v>
      </c>
      <c r="J360" s="5">
        <f t="shared" si="17"/>
        <v>56042.963200000006</v>
      </c>
      <c r="K360" t="str">
        <f>IF(Tabla1[[#This Row],[Venta Total (Q)]] = 0, "Sin ventas", "Con ventas")</f>
        <v>Con ventas</v>
      </c>
      <c r="L360" s="20">
        <f t="shared" si="15"/>
        <v>330.44200000000001</v>
      </c>
      <c r="M360" s="20">
        <f t="shared" si="16"/>
        <v>4626.1880000000001</v>
      </c>
      <c r="N360" s="20">
        <f>Tabla1[[#This Row],[Venta Total (USD)]] - Tabla1[[#This Row],[Costo Total (USD)]]</f>
        <v>1982.652</v>
      </c>
    </row>
    <row r="361" spans="1:14" x14ac:dyDescent="0.25">
      <c r="A361" t="s">
        <v>35</v>
      </c>
      <c r="B361" t="s">
        <v>11</v>
      </c>
      <c r="C361" t="s">
        <v>25</v>
      </c>
      <c r="D361">
        <v>2025</v>
      </c>
      <c r="E361">
        <v>10</v>
      </c>
      <c r="F361">
        <v>4</v>
      </c>
      <c r="G361" s="20">
        <v>489.78</v>
      </c>
      <c r="H361" s="20">
        <f>Tabla1[[#This Row],[Cantidad Vendida]]*Tabla1[[#This Row],[Precio Unitario (USD)]]</f>
        <v>1959.12</v>
      </c>
      <c r="I361" s="21">
        <v>7.57</v>
      </c>
      <c r="J361" s="5">
        <f t="shared" si="17"/>
        <v>14830.538399999999</v>
      </c>
      <c r="K361" t="str">
        <f>IF(Tabla1[[#This Row],[Venta Total (Q)]] = 0, "Sin ventas", "Con ventas")</f>
        <v>Con ventas</v>
      </c>
      <c r="L361" s="20">
        <f t="shared" si="15"/>
        <v>342.84599999999995</v>
      </c>
      <c r="M361" s="20">
        <f t="shared" si="16"/>
        <v>1371.3839999999998</v>
      </c>
      <c r="N361" s="20">
        <f>Tabla1[[#This Row],[Venta Total (USD)]] - Tabla1[[#This Row],[Costo Total (USD)]]</f>
        <v>587.7360000000001</v>
      </c>
    </row>
    <row r="362" spans="1:14" x14ac:dyDescent="0.25">
      <c r="A362" t="s">
        <v>16</v>
      </c>
      <c r="B362" t="s">
        <v>17</v>
      </c>
      <c r="C362" t="s">
        <v>19</v>
      </c>
      <c r="D362">
        <v>2023</v>
      </c>
      <c r="E362">
        <v>1</v>
      </c>
      <c r="F362">
        <v>8</v>
      </c>
      <c r="G362" s="20">
        <v>95.46</v>
      </c>
      <c r="H362" s="20">
        <f>Tabla1[[#This Row],[Cantidad Vendida]]*Tabla1[[#This Row],[Precio Unitario (USD)]]</f>
        <v>763.68</v>
      </c>
      <c r="I362" s="21">
        <v>7.96</v>
      </c>
      <c r="J362" s="5">
        <f t="shared" si="17"/>
        <v>6078.8927999999996</v>
      </c>
      <c r="K362" t="str">
        <f>IF(Tabla1[[#This Row],[Venta Total (Q)]] = 0, "Sin ventas", "Con ventas")</f>
        <v>Con ventas</v>
      </c>
      <c r="L362" s="20">
        <f t="shared" si="15"/>
        <v>66.821999999999989</v>
      </c>
      <c r="M362" s="20">
        <f t="shared" si="16"/>
        <v>534.57599999999991</v>
      </c>
      <c r="N362" s="20">
        <f>Tabla1[[#This Row],[Venta Total (USD)]] - Tabla1[[#This Row],[Costo Total (USD)]]</f>
        <v>229.10400000000004</v>
      </c>
    </row>
    <row r="363" spans="1:14" x14ac:dyDescent="0.25">
      <c r="A363" t="s">
        <v>20</v>
      </c>
      <c r="B363" t="s">
        <v>11</v>
      </c>
      <c r="C363" t="s">
        <v>37</v>
      </c>
      <c r="D363">
        <v>2025</v>
      </c>
      <c r="E363">
        <v>5</v>
      </c>
      <c r="F363">
        <v>18</v>
      </c>
      <c r="G363" s="20">
        <v>283.33999999999997</v>
      </c>
      <c r="H363" s="20">
        <f>Tabla1[[#This Row],[Cantidad Vendida]]*Tabla1[[#This Row],[Precio Unitario (USD)]]</f>
        <v>5100.12</v>
      </c>
      <c r="I363" s="21">
        <v>7.93</v>
      </c>
      <c r="J363" s="5">
        <f t="shared" si="17"/>
        <v>40443.9516</v>
      </c>
      <c r="K363" t="str">
        <f>IF(Tabla1[[#This Row],[Venta Total (Q)]] = 0, "Sin ventas", "Con ventas")</f>
        <v>Con ventas</v>
      </c>
      <c r="L363" s="20">
        <f t="shared" si="15"/>
        <v>198.33799999999997</v>
      </c>
      <c r="M363" s="20">
        <f t="shared" si="16"/>
        <v>3570.0839999999994</v>
      </c>
      <c r="N363" s="20">
        <f>Tabla1[[#This Row],[Venta Total (USD)]] - Tabla1[[#This Row],[Costo Total (USD)]]</f>
        <v>1530.0360000000005</v>
      </c>
    </row>
    <row r="364" spans="1:14" x14ac:dyDescent="0.25">
      <c r="A364" t="s">
        <v>16</v>
      </c>
      <c r="B364" t="s">
        <v>17</v>
      </c>
      <c r="C364" t="s">
        <v>19</v>
      </c>
      <c r="D364">
        <v>2024</v>
      </c>
      <c r="E364">
        <v>10</v>
      </c>
      <c r="F364">
        <v>4</v>
      </c>
      <c r="G364" s="20">
        <v>49.87</v>
      </c>
      <c r="H364" s="20">
        <f>Tabla1[[#This Row],[Cantidad Vendida]]*Tabla1[[#This Row],[Precio Unitario (USD)]]</f>
        <v>199.48</v>
      </c>
      <c r="I364" s="21">
        <v>8.4700000000000006</v>
      </c>
      <c r="J364" s="5">
        <f t="shared" si="17"/>
        <v>1689.5956000000001</v>
      </c>
      <c r="K364" t="str">
        <f>IF(Tabla1[[#This Row],[Venta Total (Q)]] = 0, "Sin ventas", "Con ventas")</f>
        <v>Con ventas</v>
      </c>
      <c r="L364" s="20">
        <f t="shared" si="15"/>
        <v>34.908999999999999</v>
      </c>
      <c r="M364" s="20">
        <f t="shared" si="16"/>
        <v>139.636</v>
      </c>
      <c r="N364" s="20">
        <f>Tabla1[[#This Row],[Venta Total (USD)]] - Tabla1[[#This Row],[Costo Total (USD)]]</f>
        <v>59.843999999999994</v>
      </c>
    </row>
    <row r="365" spans="1:14" x14ac:dyDescent="0.25">
      <c r="A365" t="s">
        <v>15</v>
      </c>
      <c r="B365" t="s">
        <v>21</v>
      </c>
      <c r="C365" t="s">
        <v>22</v>
      </c>
      <c r="D365">
        <v>2024</v>
      </c>
      <c r="E365">
        <v>11</v>
      </c>
      <c r="F365">
        <v>15</v>
      </c>
      <c r="G365" s="20">
        <v>350.95</v>
      </c>
      <c r="H365" s="20">
        <f>Tabla1[[#This Row],[Cantidad Vendida]]*Tabla1[[#This Row],[Precio Unitario (USD)]]</f>
        <v>5264.25</v>
      </c>
      <c r="I365" s="21">
        <v>7.96</v>
      </c>
      <c r="J365" s="5">
        <f t="shared" si="17"/>
        <v>41903.43</v>
      </c>
      <c r="K365" t="str">
        <f>IF(Tabla1[[#This Row],[Venta Total (Q)]] = 0, "Sin ventas", "Con ventas")</f>
        <v>Con ventas</v>
      </c>
      <c r="L365" s="20">
        <f t="shared" si="15"/>
        <v>245.66499999999996</v>
      </c>
      <c r="M365" s="20">
        <f t="shared" si="16"/>
        <v>3684.9749999999995</v>
      </c>
      <c r="N365" s="20">
        <f>Tabla1[[#This Row],[Venta Total (USD)]] - Tabla1[[#This Row],[Costo Total (USD)]]</f>
        <v>1579.2750000000005</v>
      </c>
    </row>
    <row r="366" spans="1:14" x14ac:dyDescent="0.25">
      <c r="A366" t="s">
        <v>31</v>
      </c>
      <c r="B366" t="s">
        <v>28</v>
      </c>
      <c r="C366" t="s">
        <v>38</v>
      </c>
      <c r="D366">
        <v>2022</v>
      </c>
      <c r="E366">
        <v>12</v>
      </c>
      <c r="F366">
        <v>1</v>
      </c>
      <c r="G366" s="20">
        <v>85.92</v>
      </c>
      <c r="H366" s="20">
        <f>Tabla1[[#This Row],[Cantidad Vendida]]*Tabla1[[#This Row],[Precio Unitario (USD)]]</f>
        <v>85.92</v>
      </c>
      <c r="I366" s="21">
        <v>7.8</v>
      </c>
      <c r="J366" s="5">
        <f t="shared" si="17"/>
        <v>670.17600000000004</v>
      </c>
      <c r="K366" t="str">
        <f>IF(Tabla1[[#This Row],[Venta Total (Q)]] = 0, "Sin ventas", "Con ventas")</f>
        <v>Con ventas</v>
      </c>
      <c r="L366" s="20">
        <f t="shared" si="15"/>
        <v>60.143999999999998</v>
      </c>
      <c r="M366" s="20">
        <f t="shared" si="16"/>
        <v>60.143999999999998</v>
      </c>
      <c r="N366" s="20">
        <f>Tabla1[[#This Row],[Venta Total (USD)]] - Tabla1[[#This Row],[Costo Total (USD)]]</f>
        <v>25.776000000000003</v>
      </c>
    </row>
    <row r="367" spans="1:14" x14ac:dyDescent="0.25">
      <c r="A367" t="s">
        <v>31</v>
      </c>
      <c r="B367" t="s">
        <v>21</v>
      </c>
      <c r="C367" t="s">
        <v>34</v>
      </c>
      <c r="D367">
        <v>2024</v>
      </c>
      <c r="E367">
        <v>3</v>
      </c>
      <c r="F367">
        <v>1</v>
      </c>
      <c r="G367" s="20">
        <v>191.29</v>
      </c>
      <c r="H367" s="20">
        <f>Tabla1[[#This Row],[Cantidad Vendida]]*Tabla1[[#This Row],[Precio Unitario (USD)]]</f>
        <v>191.29</v>
      </c>
      <c r="I367" s="21">
        <v>7.8</v>
      </c>
      <c r="J367" s="5">
        <f t="shared" si="17"/>
        <v>1492.0619999999999</v>
      </c>
      <c r="K367" t="str">
        <f>IF(Tabla1[[#This Row],[Venta Total (Q)]] = 0, "Sin ventas", "Con ventas")</f>
        <v>Con ventas</v>
      </c>
      <c r="L367" s="20">
        <f t="shared" si="15"/>
        <v>133.90299999999999</v>
      </c>
      <c r="M367" s="20">
        <f t="shared" si="16"/>
        <v>133.90299999999999</v>
      </c>
      <c r="N367" s="20">
        <f>Tabla1[[#This Row],[Venta Total (USD)]] - Tabla1[[#This Row],[Costo Total (USD)]]</f>
        <v>57.387</v>
      </c>
    </row>
    <row r="368" spans="1:14" x14ac:dyDescent="0.25">
      <c r="A368" t="s">
        <v>10</v>
      </c>
      <c r="B368" t="s">
        <v>17</v>
      </c>
      <c r="C368" t="s">
        <v>26</v>
      </c>
      <c r="D368">
        <v>2025</v>
      </c>
      <c r="E368">
        <v>5</v>
      </c>
      <c r="F368">
        <v>16</v>
      </c>
      <c r="G368" s="20">
        <v>201.45</v>
      </c>
      <c r="H368" s="20">
        <f>Tabla1[[#This Row],[Cantidad Vendida]]*Tabla1[[#This Row],[Precio Unitario (USD)]]</f>
        <v>3223.2</v>
      </c>
      <c r="I368" s="21">
        <v>8.1199999999999992</v>
      </c>
      <c r="J368" s="5">
        <f t="shared" si="17"/>
        <v>26172.383999999995</v>
      </c>
      <c r="K368" t="str">
        <f>IF(Tabla1[[#This Row],[Venta Total (Q)]] = 0, "Sin ventas", "Con ventas")</f>
        <v>Con ventas</v>
      </c>
      <c r="L368" s="20">
        <f t="shared" si="15"/>
        <v>141.01499999999999</v>
      </c>
      <c r="M368" s="20">
        <f t="shared" si="16"/>
        <v>2256.2399999999998</v>
      </c>
      <c r="N368" s="20">
        <f>Tabla1[[#This Row],[Venta Total (USD)]] - Tabla1[[#This Row],[Costo Total (USD)]]</f>
        <v>966.96</v>
      </c>
    </row>
    <row r="369" spans="1:14" x14ac:dyDescent="0.25">
      <c r="A369" t="s">
        <v>15</v>
      </c>
      <c r="B369" t="s">
        <v>11</v>
      </c>
      <c r="C369" t="s">
        <v>12</v>
      </c>
      <c r="D369">
        <v>2024</v>
      </c>
      <c r="E369">
        <v>7</v>
      </c>
      <c r="F369">
        <v>8</v>
      </c>
      <c r="G369" s="20">
        <v>88.38</v>
      </c>
      <c r="H369" s="20">
        <f>Tabla1[[#This Row],[Cantidad Vendida]]*Tabla1[[#This Row],[Precio Unitario (USD)]]</f>
        <v>707.04</v>
      </c>
      <c r="I369" s="21">
        <v>8.0299999999999994</v>
      </c>
      <c r="J369" s="5">
        <f t="shared" si="17"/>
        <v>5677.5311999999994</v>
      </c>
      <c r="K369" t="str">
        <f>IF(Tabla1[[#This Row],[Venta Total (Q)]] = 0, "Sin ventas", "Con ventas")</f>
        <v>Con ventas</v>
      </c>
      <c r="L369" s="20">
        <f t="shared" si="15"/>
        <v>61.865999999999993</v>
      </c>
      <c r="M369" s="20">
        <f t="shared" si="16"/>
        <v>494.92799999999994</v>
      </c>
      <c r="N369" s="20">
        <f>Tabla1[[#This Row],[Venta Total (USD)]] - Tabla1[[#This Row],[Costo Total (USD)]]</f>
        <v>212.11200000000002</v>
      </c>
    </row>
    <row r="370" spans="1:14" x14ac:dyDescent="0.25">
      <c r="A370" t="s">
        <v>35</v>
      </c>
      <c r="B370" t="s">
        <v>13</v>
      </c>
      <c r="C370" t="s">
        <v>14</v>
      </c>
      <c r="D370">
        <v>2023</v>
      </c>
      <c r="E370">
        <v>5</v>
      </c>
      <c r="F370">
        <v>4</v>
      </c>
      <c r="G370" s="20">
        <v>133.30000000000001</v>
      </c>
      <c r="H370" s="20">
        <f>Tabla1[[#This Row],[Cantidad Vendida]]*Tabla1[[#This Row],[Precio Unitario (USD)]]</f>
        <v>533.20000000000005</v>
      </c>
      <c r="I370" s="21">
        <v>8.34</v>
      </c>
      <c r="J370" s="5">
        <f t="shared" si="17"/>
        <v>4446.8879999999999</v>
      </c>
      <c r="K370" t="str">
        <f>IF(Tabla1[[#This Row],[Venta Total (Q)]] = 0, "Sin ventas", "Con ventas")</f>
        <v>Con ventas</v>
      </c>
      <c r="L370" s="20">
        <f t="shared" si="15"/>
        <v>93.31</v>
      </c>
      <c r="M370" s="20">
        <f t="shared" si="16"/>
        <v>373.24</v>
      </c>
      <c r="N370" s="20">
        <f>Tabla1[[#This Row],[Venta Total (USD)]] - Tabla1[[#This Row],[Costo Total (USD)]]</f>
        <v>159.96000000000004</v>
      </c>
    </row>
    <row r="371" spans="1:14" x14ac:dyDescent="0.25">
      <c r="A371" t="s">
        <v>10</v>
      </c>
      <c r="B371" t="s">
        <v>11</v>
      </c>
      <c r="C371" t="s">
        <v>25</v>
      </c>
      <c r="D371">
        <v>2023</v>
      </c>
      <c r="E371">
        <v>8</v>
      </c>
      <c r="F371">
        <v>15</v>
      </c>
      <c r="G371" s="20">
        <v>425.16</v>
      </c>
      <c r="H371" s="20">
        <f>Tabla1[[#This Row],[Cantidad Vendida]]*Tabla1[[#This Row],[Precio Unitario (USD)]]</f>
        <v>6377.4000000000005</v>
      </c>
      <c r="I371" s="21">
        <v>7.65</v>
      </c>
      <c r="J371" s="5">
        <f t="shared" si="17"/>
        <v>48787.110000000008</v>
      </c>
      <c r="K371" t="str">
        <f>IF(Tabla1[[#This Row],[Venta Total (Q)]] = 0, "Sin ventas", "Con ventas")</f>
        <v>Con ventas</v>
      </c>
      <c r="L371" s="20">
        <f t="shared" si="15"/>
        <v>297.61200000000002</v>
      </c>
      <c r="M371" s="20">
        <f t="shared" si="16"/>
        <v>4464.18</v>
      </c>
      <c r="N371" s="20">
        <f>Tabla1[[#This Row],[Venta Total (USD)]] - Tabla1[[#This Row],[Costo Total (USD)]]</f>
        <v>1913.2200000000003</v>
      </c>
    </row>
    <row r="372" spans="1:14" x14ac:dyDescent="0.25">
      <c r="A372" t="s">
        <v>35</v>
      </c>
      <c r="B372" t="s">
        <v>17</v>
      </c>
      <c r="C372" t="s">
        <v>26</v>
      </c>
      <c r="D372">
        <v>2023</v>
      </c>
      <c r="E372">
        <v>2</v>
      </c>
      <c r="F372">
        <v>16</v>
      </c>
      <c r="G372" s="20">
        <v>373.84</v>
      </c>
      <c r="H372" s="20">
        <f>Tabla1[[#This Row],[Cantidad Vendida]]*Tabla1[[#This Row],[Precio Unitario (USD)]]</f>
        <v>5981.44</v>
      </c>
      <c r="I372" s="21">
        <v>7.84</v>
      </c>
      <c r="J372" s="5">
        <f t="shared" si="17"/>
        <v>46894.489599999994</v>
      </c>
      <c r="K372" t="str">
        <f>IF(Tabla1[[#This Row],[Venta Total (Q)]] = 0, "Sin ventas", "Con ventas")</f>
        <v>Con ventas</v>
      </c>
      <c r="L372" s="20">
        <f t="shared" si="15"/>
        <v>261.68799999999999</v>
      </c>
      <c r="M372" s="20">
        <f t="shared" si="16"/>
        <v>4187.0079999999998</v>
      </c>
      <c r="N372" s="20">
        <f>Tabla1[[#This Row],[Venta Total (USD)]] - Tabla1[[#This Row],[Costo Total (USD)]]</f>
        <v>1794.4319999999998</v>
      </c>
    </row>
    <row r="373" spans="1:14" x14ac:dyDescent="0.25">
      <c r="A373" t="s">
        <v>16</v>
      </c>
      <c r="B373" t="s">
        <v>17</v>
      </c>
      <c r="C373" t="s">
        <v>33</v>
      </c>
      <c r="D373">
        <v>2022</v>
      </c>
      <c r="E373">
        <v>2</v>
      </c>
      <c r="F373">
        <v>14</v>
      </c>
      <c r="G373" s="20">
        <v>84.86</v>
      </c>
      <c r="H373" s="20">
        <f>Tabla1[[#This Row],[Cantidad Vendida]]*Tabla1[[#This Row],[Precio Unitario (USD)]]</f>
        <v>1188.04</v>
      </c>
      <c r="I373" s="21">
        <v>8.4600000000000009</v>
      </c>
      <c r="J373" s="5">
        <f t="shared" si="17"/>
        <v>10050.8184</v>
      </c>
      <c r="K373" t="str">
        <f>IF(Tabla1[[#This Row],[Venta Total (Q)]] = 0, "Sin ventas", "Con ventas")</f>
        <v>Con ventas</v>
      </c>
      <c r="L373" s="20">
        <f t="shared" si="15"/>
        <v>59.401999999999994</v>
      </c>
      <c r="M373" s="20">
        <f t="shared" si="16"/>
        <v>831.62799999999993</v>
      </c>
      <c r="N373" s="20">
        <f>Tabla1[[#This Row],[Venta Total (USD)]] - Tabla1[[#This Row],[Costo Total (USD)]]</f>
        <v>356.41200000000003</v>
      </c>
    </row>
    <row r="374" spans="1:14" x14ac:dyDescent="0.25">
      <c r="A374" t="s">
        <v>31</v>
      </c>
      <c r="B374" t="s">
        <v>13</v>
      </c>
      <c r="C374" t="s">
        <v>30</v>
      </c>
      <c r="D374">
        <v>2025</v>
      </c>
      <c r="E374">
        <v>2</v>
      </c>
      <c r="F374">
        <v>20</v>
      </c>
      <c r="G374" s="20">
        <v>229.76</v>
      </c>
      <c r="H374" s="20">
        <f>Tabla1[[#This Row],[Cantidad Vendida]]*Tabla1[[#This Row],[Precio Unitario (USD)]]</f>
        <v>4595.2</v>
      </c>
      <c r="I374" s="21">
        <v>8.4</v>
      </c>
      <c r="J374" s="5">
        <f t="shared" si="17"/>
        <v>38599.68</v>
      </c>
      <c r="K374" t="str">
        <f>IF(Tabla1[[#This Row],[Venta Total (Q)]] = 0, "Sin ventas", "Con ventas")</f>
        <v>Con ventas</v>
      </c>
      <c r="L374" s="20">
        <f t="shared" si="15"/>
        <v>160.83199999999999</v>
      </c>
      <c r="M374" s="20">
        <f t="shared" si="16"/>
        <v>3216.64</v>
      </c>
      <c r="N374" s="20">
        <f>Tabla1[[#This Row],[Venta Total (USD)]] - Tabla1[[#This Row],[Costo Total (USD)]]</f>
        <v>1378.56</v>
      </c>
    </row>
    <row r="375" spans="1:14" x14ac:dyDescent="0.25">
      <c r="A375" t="s">
        <v>20</v>
      </c>
      <c r="B375" t="s">
        <v>28</v>
      </c>
      <c r="C375" t="s">
        <v>39</v>
      </c>
      <c r="D375">
        <v>2023</v>
      </c>
      <c r="E375">
        <v>11</v>
      </c>
      <c r="F375">
        <v>9</v>
      </c>
      <c r="G375" s="20">
        <v>110.9</v>
      </c>
      <c r="H375" s="20">
        <f>Tabla1[[#This Row],[Cantidad Vendida]]*Tabla1[[#This Row],[Precio Unitario (USD)]]</f>
        <v>998.1</v>
      </c>
      <c r="I375" s="21">
        <v>8.25</v>
      </c>
      <c r="J375" s="5">
        <f t="shared" si="17"/>
        <v>8234.3250000000007</v>
      </c>
      <c r="K375" t="str">
        <f>IF(Tabla1[[#This Row],[Venta Total (Q)]] = 0, "Sin ventas", "Con ventas")</f>
        <v>Con ventas</v>
      </c>
      <c r="L375" s="20">
        <f t="shared" si="15"/>
        <v>77.63</v>
      </c>
      <c r="M375" s="20">
        <f t="shared" si="16"/>
        <v>698.67</v>
      </c>
      <c r="N375" s="20">
        <f>Tabla1[[#This Row],[Venta Total (USD)]] - Tabla1[[#This Row],[Costo Total (USD)]]</f>
        <v>299.43000000000006</v>
      </c>
    </row>
    <row r="376" spans="1:14" x14ac:dyDescent="0.25">
      <c r="A376" t="s">
        <v>20</v>
      </c>
      <c r="B376" t="s">
        <v>13</v>
      </c>
      <c r="C376" t="s">
        <v>14</v>
      </c>
      <c r="D376">
        <v>2022</v>
      </c>
      <c r="E376">
        <v>6</v>
      </c>
      <c r="F376">
        <v>16</v>
      </c>
      <c r="G376" s="20">
        <v>220.37</v>
      </c>
      <c r="H376" s="20">
        <f>Tabla1[[#This Row],[Cantidad Vendida]]*Tabla1[[#This Row],[Precio Unitario (USD)]]</f>
        <v>3525.92</v>
      </c>
      <c r="I376" s="21">
        <v>8.3800000000000008</v>
      </c>
      <c r="J376" s="5">
        <f t="shared" si="17"/>
        <v>29547.209600000002</v>
      </c>
      <c r="K376" t="str">
        <f>IF(Tabla1[[#This Row],[Venta Total (Q)]] = 0, "Sin ventas", "Con ventas")</f>
        <v>Con ventas</v>
      </c>
      <c r="L376" s="20">
        <f t="shared" si="15"/>
        <v>154.25899999999999</v>
      </c>
      <c r="M376" s="20">
        <f t="shared" si="16"/>
        <v>2468.1439999999998</v>
      </c>
      <c r="N376" s="20">
        <f>Tabla1[[#This Row],[Venta Total (USD)]] - Tabla1[[#This Row],[Costo Total (USD)]]</f>
        <v>1057.7760000000003</v>
      </c>
    </row>
    <row r="377" spans="1:14" x14ac:dyDescent="0.25">
      <c r="A377" t="s">
        <v>10</v>
      </c>
      <c r="B377" t="s">
        <v>17</v>
      </c>
      <c r="C377" t="s">
        <v>33</v>
      </c>
      <c r="D377">
        <v>2022</v>
      </c>
      <c r="E377">
        <v>12</v>
      </c>
      <c r="F377">
        <v>16</v>
      </c>
      <c r="G377" s="20">
        <v>313.22000000000003</v>
      </c>
      <c r="H377" s="20">
        <f>Tabla1[[#This Row],[Cantidad Vendida]]*Tabla1[[#This Row],[Precio Unitario (USD)]]</f>
        <v>5011.5200000000004</v>
      </c>
      <c r="I377" s="21">
        <v>7.61</v>
      </c>
      <c r="J377" s="5">
        <f t="shared" si="17"/>
        <v>38137.667200000004</v>
      </c>
      <c r="K377" t="str">
        <f>IF(Tabla1[[#This Row],[Venta Total (Q)]] = 0, "Sin ventas", "Con ventas")</f>
        <v>Con ventas</v>
      </c>
      <c r="L377" s="20">
        <f t="shared" si="15"/>
        <v>219.25400000000002</v>
      </c>
      <c r="M377" s="20">
        <f t="shared" si="16"/>
        <v>3508.0640000000003</v>
      </c>
      <c r="N377" s="20">
        <f>Tabla1[[#This Row],[Venta Total (USD)]] - Tabla1[[#This Row],[Costo Total (USD)]]</f>
        <v>1503.4560000000001</v>
      </c>
    </row>
    <row r="378" spans="1:14" x14ac:dyDescent="0.25">
      <c r="A378" t="s">
        <v>31</v>
      </c>
      <c r="B378" t="s">
        <v>11</v>
      </c>
      <c r="C378" t="s">
        <v>25</v>
      </c>
      <c r="D378">
        <v>2024</v>
      </c>
      <c r="E378">
        <v>6</v>
      </c>
      <c r="F378">
        <v>20</v>
      </c>
      <c r="G378" s="20">
        <v>270.86</v>
      </c>
      <c r="H378" s="20">
        <f>Tabla1[[#This Row],[Cantidad Vendida]]*Tabla1[[#This Row],[Precio Unitario (USD)]]</f>
        <v>5417.2000000000007</v>
      </c>
      <c r="I378" s="21">
        <v>7.69</v>
      </c>
      <c r="J378" s="5">
        <f t="shared" si="17"/>
        <v>41658.268000000011</v>
      </c>
      <c r="K378" t="str">
        <f>IF(Tabla1[[#This Row],[Venta Total (Q)]] = 0, "Sin ventas", "Con ventas")</f>
        <v>Con ventas</v>
      </c>
      <c r="L378" s="20">
        <f t="shared" si="15"/>
        <v>189.602</v>
      </c>
      <c r="M378" s="20">
        <f t="shared" si="16"/>
        <v>3792.04</v>
      </c>
      <c r="N378" s="20">
        <f>Tabla1[[#This Row],[Venta Total (USD)]] - Tabla1[[#This Row],[Costo Total (USD)]]</f>
        <v>1625.1600000000008</v>
      </c>
    </row>
    <row r="379" spans="1:14" x14ac:dyDescent="0.25">
      <c r="A379" t="s">
        <v>10</v>
      </c>
      <c r="B379" t="s">
        <v>13</v>
      </c>
      <c r="C379" t="s">
        <v>14</v>
      </c>
      <c r="D379">
        <v>2025</v>
      </c>
      <c r="E379">
        <v>7</v>
      </c>
      <c r="F379">
        <v>13</v>
      </c>
      <c r="G379" s="20">
        <v>169.63</v>
      </c>
      <c r="H379" s="20">
        <f>Tabla1[[#This Row],[Cantidad Vendida]]*Tabla1[[#This Row],[Precio Unitario (USD)]]</f>
        <v>2205.19</v>
      </c>
      <c r="I379" s="21">
        <v>8.43</v>
      </c>
      <c r="J379" s="5">
        <f t="shared" si="17"/>
        <v>18589.751700000001</v>
      </c>
      <c r="K379" t="str">
        <f>IF(Tabla1[[#This Row],[Venta Total (Q)]] = 0, "Sin ventas", "Con ventas")</f>
        <v>Con ventas</v>
      </c>
      <c r="L379" s="20">
        <f t="shared" si="15"/>
        <v>118.74099999999999</v>
      </c>
      <c r="M379" s="20">
        <f t="shared" si="16"/>
        <v>1543.6329999999998</v>
      </c>
      <c r="N379" s="20">
        <f>Tabla1[[#This Row],[Venta Total (USD)]] - Tabla1[[#This Row],[Costo Total (USD)]]</f>
        <v>661.55700000000024</v>
      </c>
    </row>
    <row r="380" spans="1:14" x14ac:dyDescent="0.25">
      <c r="A380" t="s">
        <v>15</v>
      </c>
      <c r="B380" t="s">
        <v>21</v>
      </c>
      <c r="C380" t="s">
        <v>34</v>
      </c>
      <c r="D380">
        <v>2024</v>
      </c>
      <c r="E380">
        <v>2</v>
      </c>
      <c r="F380">
        <v>7</v>
      </c>
      <c r="G380" s="20">
        <v>129.54</v>
      </c>
      <c r="H380" s="20">
        <f>Tabla1[[#This Row],[Cantidad Vendida]]*Tabla1[[#This Row],[Precio Unitario (USD)]]</f>
        <v>906.78</v>
      </c>
      <c r="I380" s="21">
        <v>7.99</v>
      </c>
      <c r="J380" s="5">
        <f t="shared" si="17"/>
        <v>7245.1722</v>
      </c>
      <c r="K380" t="str">
        <f>IF(Tabla1[[#This Row],[Venta Total (Q)]] = 0, "Sin ventas", "Con ventas")</f>
        <v>Con ventas</v>
      </c>
      <c r="L380" s="20">
        <f t="shared" si="15"/>
        <v>90.677999999999983</v>
      </c>
      <c r="M380" s="20">
        <f t="shared" si="16"/>
        <v>634.74599999999987</v>
      </c>
      <c r="N380" s="20">
        <f>Tabla1[[#This Row],[Venta Total (USD)]] - Tabla1[[#This Row],[Costo Total (USD)]]</f>
        <v>272.03400000000011</v>
      </c>
    </row>
    <row r="381" spans="1:14" x14ac:dyDescent="0.25">
      <c r="A381" t="s">
        <v>16</v>
      </c>
      <c r="B381" t="s">
        <v>13</v>
      </c>
      <c r="C381" t="s">
        <v>36</v>
      </c>
      <c r="D381">
        <v>2025</v>
      </c>
      <c r="E381">
        <v>9</v>
      </c>
      <c r="F381">
        <v>8</v>
      </c>
      <c r="G381" s="20">
        <v>18.16</v>
      </c>
      <c r="H381" s="20">
        <f>Tabla1[[#This Row],[Cantidad Vendida]]*Tabla1[[#This Row],[Precio Unitario (USD)]]</f>
        <v>145.28</v>
      </c>
      <c r="I381" s="21">
        <v>8.3699999999999992</v>
      </c>
      <c r="J381" s="5">
        <f t="shared" si="17"/>
        <v>1215.9935999999998</v>
      </c>
      <c r="K381" t="str">
        <f>IF(Tabla1[[#This Row],[Venta Total (Q)]] = 0, "Sin ventas", "Con ventas")</f>
        <v>Con ventas</v>
      </c>
      <c r="L381" s="20">
        <f t="shared" si="15"/>
        <v>12.712</v>
      </c>
      <c r="M381" s="20">
        <f t="shared" si="16"/>
        <v>101.696</v>
      </c>
      <c r="N381" s="20">
        <f>Tabla1[[#This Row],[Venta Total (USD)]] - Tabla1[[#This Row],[Costo Total (USD)]]</f>
        <v>43.584000000000003</v>
      </c>
    </row>
    <row r="382" spans="1:14" x14ac:dyDescent="0.25">
      <c r="A382" t="s">
        <v>15</v>
      </c>
      <c r="B382" t="s">
        <v>17</v>
      </c>
      <c r="C382" t="s">
        <v>19</v>
      </c>
      <c r="D382">
        <v>2025</v>
      </c>
      <c r="E382">
        <v>12</v>
      </c>
      <c r="F382">
        <v>6</v>
      </c>
      <c r="G382" s="20">
        <v>100.43</v>
      </c>
      <c r="H382" s="20">
        <f>Tabla1[[#This Row],[Cantidad Vendida]]*Tabla1[[#This Row],[Precio Unitario (USD)]]</f>
        <v>602.58000000000004</v>
      </c>
      <c r="I382" s="21">
        <v>7.52</v>
      </c>
      <c r="J382" s="5">
        <f t="shared" si="17"/>
        <v>4531.4016000000001</v>
      </c>
      <c r="K382" t="str">
        <f>IF(Tabla1[[#This Row],[Venta Total (Q)]] = 0, "Sin ventas", "Con ventas")</f>
        <v>Con ventas</v>
      </c>
      <c r="L382" s="20">
        <f t="shared" si="15"/>
        <v>70.301000000000002</v>
      </c>
      <c r="M382" s="20">
        <f t="shared" si="16"/>
        <v>421.80600000000004</v>
      </c>
      <c r="N382" s="20">
        <f>Tabla1[[#This Row],[Venta Total (USD)]] - Tabla1[[#This Row],[Costo Total (USD)]]</f>
        <v>180.774</v>
      </c>
    </row>
    <row r="383" spans="1:14" x14ac:dyDescent="0.25">
      <c r="A383" t="s">
        <v>15</v>
      </c>
      <c r="B383" t="s">
        <v>21</v>
      </c>
      <c r="C383" t="s">
        <v>34</v>
      </c>
      <c r="D383">
        <v>2025</v>
      </c>
      <c r="E383">
        <v>12</v>
      </c>
      <c r="F383">
        <v>5</v>
      </c>
      <c r="G383" s="20">
        <v>431.85</v>
      </c>
      <c r="H383" s="20">
        <f>Tabla1[[#This Row],[Cantidad Vendida]]*Tabla1[[#This Row],[Precio Unitario (USD)]]</f>
        <v>2159.25</v>
      </c>
      <c r="I383" s="21">
        <v>8.1</v>
      </c>
      <c r="J383" s="5">
        <f t="shared" si="17"/>
        <v>17489.924999999999</v>
      </c>
      <c r="K383" t="str">
        <f>IF(Tabla1[[#This Row],[Venta Total (Q)]] = 0, "Sin ventas", "Con ventas")</f>
        <v>Con ventas</v>
      </c>
      <c r="L383" s="20">
        <f t="shared" si="15"/>
        <v>302.29500000000002</v>
      </c>
      <c r="M383" s="20">
        <f t="shared" si="16"/>
        <v>1511.4750000000001</v>
      </c>
      <c r="N383" s="20">
        <f>Tabla1[[#This Row],[Venta Total (USD)]] - Tabla1[[#This Row],[Costo Total (USD)]]</f>
        <v>647.77499999999986</v>
      </c>
    </row>
    <row r="384" spans="1:14" x14ac:dyDescent="0.25">
      <c r="A384" t="s">
        <v>16</v>
      </c>
      <c r="B384" t="s">
        <v>21</v>
      </c>
      <c r="C384" t="s">
        <v>24</v>
      </c>
      <c r="D384">
        <v>2022</v>
      </c>
      <c r="E384">
        <v>8</v>
      </c>
      <c r="F384">
        <v>14</v>
      </c>
      <c r="G384" s="20">
        <v>300.89999999999998</v>
      </c>
      <c r="H384" s="20">
        <f>Tabla1[[#This Row],[Cantidad Vendida]]*Tabla1[[#This Row],[Precio Unitario (USD)]]</f>
        <v>4212.5999999999995</v>
      </c>
      <c r="I384" s="21">
        <v>7.99</v>
      </c>
      <c r="J384" s="5">
        <f t="shared" si="17"/>
        <v>33658.673999999999</v>
      </c>
      <c r="K384" t="str">
        <f>IF(Tabla1[[#This Row],[Venta Total (Q)]] = 0, "Sin ventas", "Con ventas")</f>
        <v>Con ventas</v>
      </c>
      <c r="L384" s="20">
        <f t="shared" si="15"/>
        <v>210.62999999999997</v>
      </c>
      <c r="M384" s="20">
        <f t="shared" si="16"/>
        <v>2948.8199999999997</v>
      </c>
      <c r="N384" s="20">
        <f>Tabla1[[#This Row],[Venta Total (USD)]] - Tabla1[[#This Row],[Costo Total (USD)]]</f>
        <v>1263.7799999999997</v>
      </c>
    </row>
    <row r="385" spans="1:14" x14ac:dyDescent="0.25">
      <c r="A385" t="s">
        <v>15</v>
      </c>
      <c r="B385" t="s">
        <v>28</v>
      </c>
      <c r="C385" t="s">
        <v>38</v>
      </c>
      <c r="D385">
        <v>2022</v>
      </c>
      <c r="E385">
        <v>10</v>
      </c>
      <c r="F385">
        <v>12</v>
      </c>
      <c r="G385" s="20">
        <v>478.83</v>
      </c>
      <c r="H385" s="20">
        <f>Tabla1[[#This Row],[Cantidad Vendida]]*Tabla1[[#This Row],[Precio Unitario (USD)]]</f>
        <v>5745.96</v>
      </c>
      <c r="I385" s="21">
        <v>8.32</v>
      </c>
      <c r="J385" s="5">
        <f t="shared" si="17"/>
        <v>47806.387200000005</v>
      </c>
      <c r="K385" t="str">
        <f>IF(Tabla1[[#This Row],[Venta Total (Q)]] = 0, "Sin ventas", "Con ventas")</f>
        <v>Con ventas</v>
      </c>
      <c r="L385" s="20">
        <f t="shared" si="15"/>
        <v>335.18099999999998</v>
      </c>
      <c r="M385" s="20">
        <f t="shared" si="16"/>
        <v>4022.1719999999996</v>
      </c>
      <c r="N385" s="20">
        <f>Tabla1[[#This Row],[Venta Total (USD)]] - Tabla1[[#This Row],[Costo Total (USD)]]</f>
        <v>1723.7880000000005</v>
      </c>
    </row>
    <row r="386" spans="1:14" x14ac:dyDescent="0.25">
      <c r="A386" t="s">
        <v>16</v>
      </c>
      <c r="B386" t="s">
        <v>21</v>
      </c>
      <c r="C386" t="s">
        <v>22</v>
      </c>
      <c r="D386">
        <v>2024</v>
      </c>
      <c r="E386">
        <v>2</v>
      </c>
      <c r="F386">
        <v>6</v>
      </c>
      <c r="G386" s="20">
        <v>105.14</v>
      </c>
      <c r="H386" s="20">
        <f>Tabla1[[#This Row],[Cantidad Vendida]]*Tabla1[[#This Row],[Precio Unitario (USD)]]</f>
        <v>630.84</v>
      </c>
      <c r="I386" s="21">
        <v>8.1199999999999992</v>
      </c>
      <c r="J386" s="5">
        <f t="shared" si="17"/>
        <v>5122.4207999999999</v>
      </c>
      <c r="K386" t="str">
        <f>IF(Tabla1[[#This Row],[Venta Total (Q)]] = 0, "Sin ventas", "Con ventas")</f>
        <v>Con ventas</v>
      </c>
      <c r="L386" s="20">
        <f t="shared" ref="L386:L449" si="18">IF(G386&gt;0, G386*0.7, "")</f>
        <v>73.597999999999999</v>
      </c>
      <c r="M386" s="20">
        <f t="shared" ref="M386:M449" si="19">F386 * L386</f>
        <v>441.58799999999997</v>
      </c>
      <c r="N386" s="20">
        <f>Tabla1[[#This Row],[Venta Total (USD)]] - Tabla1[[#This Row],[Costo Total (USD)]]</f>
        <v>189.25200000000007</v>
      </c>
    </row>
    <row r="387" spans="1:14" x14ac:dyDescent="0.25">
      <c r="A387" t="s">
        <v>15</v>
      </c>
      <c r="B387" t="s">
        <v>28</v>
      </c>
      <c r="C387" t="s">
        <v>29</v>
      </c>
      <c r="D387">
        <v>2025</v>
      </c>
      <c r="E387">
        <v>3</v>
      </c>
      <c r="F387">
        <v>7</v>
      </c>
      <c r="G387" s="20">
        <v>24.76</v>
      </c>
      <c r="H387" s="20">
        <f>Tabla1[[#This Row],[Cantidad Vendida]]*Tabla1[[#This Row],[Precio Unitario (USD)]]</f>
        <v>173.32000000000002</v>
      </c>
      <c r="I387" s="21">
        <v>8.42</v>
      </c>
      <c r="J387" s="5">
        <f t="shared" ref="J387:J450" si="20">H387 * I387</f>
        <v>1459.3544000000002</v>
      </c>
      <c r="K387" t="str">
        <f>IF(Tabla1[[#This Row],[Venta Total (Q)]] = 0, "Sin ventas", "Con ventas")</f>
        <v>Con ventas</v>
      </c>
      <c r="L387" s="20">
        <f t="shared" si="18"/>
        <v>17.332000000000001</v>
      </c>
      <c r="M387" s="20">
        <f t="shared" si="19"/>
        <v>121.32400000000001</v>
      </c>
      <c r="N387" s="20">
        <f>Tabla1[[#This Row],[Venta Total (USD)]] - Tabla1[[#This Row],[Costo Total (USD)]]</f>
        <v>51.996000000000009</v>
      </c>
    </row>
    <row r="388" spans="1:14" x14ac:dyDescent="0.25">
      <c r="A388" t="s">
        <v>35</v>
      </c>
      <c r="B388" t="s">
        <v>11</v>
      </c>
      <c r="C388" t="s">
        <v>23</v>
      </c>
      <c r="D388">
        <v>2022</v>
      </c>
      <c r="E388">
        <v>4</v>
      </c>
      <c r="F388">
        <v>1</v>
      </c>
      <c r="G388" s="20">
        <v>208.62</v>
      </c>
      <c r="H388" s="20">
        <f>Tabla1[[#This Row],[Cantidad Vendida]]*Tabla1[[#This Row],[Precio Unitario (USD)]]</f>
        <v>208.62</v>
      </c>
      <c r="I388" s="21">
        <v>7.89</v>
      </c>
      <c r="J388" s="5">
        <f t="shared" si="20"/>
        <v>1646.0118</v>
      </c>
      <c r="K388" t="str">
        <f>IF(Tabla1[[#This Row],[Venta Total (Q)]] = 0, "Sin ventas", "Con ventas")</f>
        <v>Con ventas</v>
      </c>
      <c r="L388" s="20">
        <f t="shared" si="18"/>
        <v>146.03399999999999</v>
      </c>
      <c r="M388" s="20">
        <f t="shared" si="19"/>
        <v>146.03399999999999</v>
      </c>
      <c r="N388" s="20">
        <f>Tabla1[[#This Row],[Venta Total (USD)]] - Tabla1[[#This Row],[Costo Total (USD)]]</f>
        <v>62.586000000000013</v>
      </c>
    </row>
    <row r="389" spans="1:14" x14ac:dyDescent="0.25">
      <c r="A389" t="s">
        <v>15</v>
      </c>
      <c r="B389" t="s">
        <v>21</v>
      </c>
      <c r="C389" t="s">
        <v>22</v>
      </c>
      <c r="D389">
        <v>2023</v>
      </c>
      <c r="E389">
        <v>5</v>
      </c>
      <c r="F389">
        <v>5</v>
      </c>
      <c r="G389" s="20">
        <v>87.45</v>
      </c>
      <c r="H389" s="20">
        <f>Tabla1[[#This Row],[Cantidad Vendida]]*Tabla1[[#This Row],[Precio Unitario (USD)]]</f>
        <v>437.25</v>
      </c>
      <c r="I389" s="21">
        <v>8.4</v>
      </c>
      <c r="J389" s="5">
        <f t="shared" si="20"/>
        <v>3672.9</v>
      </c>
      <c r="K389" t="str">
        <f>IF(Tabla1[[#This Row],[Venta Total (Q)]] = 0, "Sin ventas", "Con ventas")</f>
        <v>Con ventas</v>
      </c>
      <c r="L389" s="20">
        <f t="shared" si="18"/>
        <v>61.214999999999996</v>
      </c>
      <c r="M389" s="20">
        <f t="shared" si="19"/>
        <v>306.07499999999999</v>
      </c>
      <c r="N389" s="20">
        <f>Tabla1[[#This Row],[Venta Total (USD)]] - Tabla1[[#This Row],[Costo Total (USD)]]</f>
        <v>131.17500000000001</v>
      </c>
    </row>
    <row r="390" spans="1:14" x14ac:dyDescent="0.25">
      <c r="A390" t="s">
        <v>20</v>
      </c>
      <c r="B390" t="s">
        <v>17</v>
      </c>
      <c r="C390" t="s">
        <v>26</v>
      </c>
      <c r="D390">
        <v>2022</v>
      </c>
      <c r="E390">
        <v>3</v>
      </c>
      <c r="F390">
        <v>4</v>
      </c>
      <c r="G390" s="20">
        <v>374.06</v>
      </c>
      <c r="H390" s="20">
        <f>Tabla1[[#This Row],[Cantidad Vendida]]*Tabla1[[#This Row],[Precio Unitario (USD)]]</f>
        <v>1496.24</v>
      </c>
      <c r="I390" s="21">
        <v>7.53</v>
      </c>
      <c r="J390" s="5">
        <f t="shared" si="20"/>
        <v>11266.6872</v>
      </c>
      <c r="K390" t="str">
        <f>IF(Tabla1[[#This Row],[Venta Total (Q)]] = 0, "Sin ventas", "Con ventas")</f>
        <v>Con ventas</v>
      </c>
      <c r="L390" s="20">
        <f t="shared" si="18"/>
        <v>261.84199999999998</v>
      </c>
      <c r="M390" s="20">
        <f t="shared" si="19"/>
        <v>1047.3679999999999</v>
      </c>
      <c r="N390" s="20">
        <f>Tabla1[[#This Row],[Venta Total (USD)]] - Tabla1[[#This Row],[Costo Total (USD)]]</f>
        <v>448.87200000000007</v>
      </c>
    </row>
    <row r="391" spans="1:14" x14ac:dyDescent="0.25">
      <c r="A391" t="s">
        <v>16</v>
      </c>
      <c r="B391" t="s">
        <v>11</v>
      </c>
      <c r="C391" t="s">
        <v>12</v>
      </c>
      <c r="D391">
        <v>2024</v>
      </c>
      <c r="E391">
        <v>6</v>
      </c>
      <c r="F391">
        <v>18</v>
      </c>
      <c r="G391" s="20">
        <v>153.19</v>
      </c>
      <c r="H391" s="20">
        <f>Tabla1[[#This Row],[Cantidad Vendida]]*Tabla1[[#This Row],[Precio Unitario (USD)]]</f>
        <v>2757.42</v>
      </c>
      <c r="I391" s="21">
        <v>7.97</v>
      </c>
      <c r="J391" s="5">
        <f t="shared" si="20"/>
        <v>21976.6374</v>
      </c>
      <c r="K391" t="str">
        <f>IF(Tabla1[[#This Row],[Venta Total (Q)]] = 0, "Sin ventas", "Con ventas")</f>
        <v>Con ventas</v>
      </c>
      <c r="L391" s="20">
        <f t="shared" si="18"/>
        <v>107.23299999999999</v>
      </c>
      <c r="M391" s="20">
        <f t="shared" si="19"/>
        <v>1930.1939999999997</v>
      </c>
      <c r="N391" s="20">
        <f>Tabla1[[#This Row],[Venta Total (USD)]] - Tabla1[[#This Row],[Costo Total (USD)]]</f>
        <v>827.22600000000034</v>
      </c>
    </row>
    <row r="392" spans="1:14" x14ac:dyDescent="0.25">
      <c r="A392" t="s">
        <v>20</v>
      </c>
      <c r="B392" t="s">
        <v>17</v>
      </c>
      <c r="C392" t="s">
        <v>33</v>
      </c>
      <c r="D392">
        <v>2024</v>
      </c>
      <c r="E392">
        <v>12</v>
      </c>
      <c r="F392">
        <v>7</v>
      </c>
      <c r="G392" s="20">
        <v>128.01</v>
      </c>
      <c r="H392" s="20">
        <f>Tabla1[[#This Row],[Cantidad Vendida]]*Tabla1[[#This Row],[Precio Unitario (USD)]]</f>
        <v>896.06999999999994</v>
      </c>
      <c r="I392" s="21">
        <v>7.72</v>
      </c>
      <c r="J392" s="5">
        <f t="shared" si="20"/>
        <v>6917.6603999999988</v>
      </c>
      <c r="K392" t="str">
        <f>IF(Tabla1[[#This Row],[Venta Total (Q)]] = 0, "Sin ventas", "Con ventas")</f>
        <v>Con ventas</v>
      </c>
      <c r="L392" s="20">
        <f t="shared" si="18"/>
        <v>89.606999999999985</v>
      </c>
      <c r="M392" s="20">
        <f t="shared" si="19"/>
        <v>627.24899999999991</v>
      </c>
      <c r="N392" s="20">
        <f>Tabla1[[#This Row],[Venta Total (USD)]] - Tabla1[[#This Row],[Costo Total (USD)]]</f>
        <v>268.82100000000003</v>
      </c>
    </row>
    <row r="393" spans="1:14" x14ac:dyDescent="0.25">
      <c r="A393" t="s">
        <v>35</v>
      </c>
      <c r="B393" t="s">
        <v>21</v>
      </c>
      <c r="C393" t="s">
        <v>32</v>
      </c>
      <c r="D393">
        <v>2022</v>
      </c>
      <c r="E393">
        <v>12</v>
      </c>
      <c r="F393">
        <v>8</v>
      </c>
      <c r="G393" s="20">
        <v>344.52</v>
      </c>
      <c r="H393" s="20">
        <f>Tabla1[[#This Row],[Cantidad Vendida]]*Tabla1[[#This Row],[Precio Unitario (USD)]]</f>
        <v>2756.16</v>
      </c>
      <c r="I393" s="21">
        <v>8.4700000000000006</v>
      </c>
      <c r="J393" s="5">
        <f t="shared" si="20"/>
        <v>23344.675200000001</v>
      </c>
      <c r="K393" t="str">
        <f>IF(Tabla1[[#This Row],[Venta Total (Q)]] = 0, "Sin ventas", "Con ventas")</f>
        <v>Con ventas</v>
      </c>
      <c r="L393" s="20">
        <f t="shared" si="18"/>
        <v>241.16399999999996</v>
      </c>
      <c r="M393" s="20">
        <f t="shared" si="19"/>
        <v>1929.3119999999997</v>
      </c>
      <c r="N393" s="20">
        <f>Tabla1[[#This Row],[Venta Total (USD)]] - Tabla1[[#This Row],[Costo Total (USD)]]</f>
        <v>826.84800000000018</v>
      </c>
    </row>
    <row r="394" spans="1:14" x14ac:dyDescent="0.25">
      <c r="A394" t="s">
        <v>15</v>
      </c>
      <c r="B394" t="s">
        <v>13</v>
      </c>
      <c r="C394" t="s">
        <v>14</v>
      </c>
      <c r="D394">
        <v>2023</v>
      </c>
      <c r="E394">
        <v>4</v>
      </c>
      <c r="F394">
        <v>7</v>
      </c>
      <c r="G394" s="20">
        <v>316.43</v>
      </c>
      <c r="H394" s="20">
        <f>Tabla1[[#This Row],[Cantidad Vendida]]*Tabla1[[#This Row],[Precio Unitario (USD)]]</f>
        <v>2215.0100000000002</v>
      </c>
      <c r="I394" s="21">
        <v>7.53</v>
      </c>
      <c r="J394" s="5">
        <f t="shared" si="20"/>
        <v>16679.025300000001</v>
      </c>
      <c r="K394" t="str">
        <f>IF(Tabla1[[#This Row],[Venta Total (Q)]] = 0, "Sin ventas", "Con ventas")</f>
        <v>Con ventas</v>
      </c>
      <c r="L394" s="20">
        <f t="shared" si="18"/>
        <v>221.501</v>
      </c>
      <c r="M394" s="20">
        <f t="shared" si="19"/>
        <v>1550.5070000000001</v>
      </c>
      <c r="N394" s="20">
        <f>Tabla1[[#This Row],[Venta Total (USD)]] - Tabla1[[#This Row],[Costo Total (USD)]]</f>
        <v>664.50300000000016</v>
      </c>
    </row>
    <row r="395" spans="1:14" x14ac:dyDescent="0.25">
      <c r="A395" t="s">
        <v>16</v>
      </c>
      <c r="B395" t="s">
        <v>13</v>
      </c>
      <c r="C395" t="s">
        <v>27</v>
      </c>
      <c r="D395">
        <v>2023</v>
      </c>
      <c r="E395">
        <v>4</v>
      </c>
      <c r="F395">
        <v>2</v>
      </c>
      <c r="G395" s="20">
        <v>377.44</v>
      </c>
      <c r="H395" s="20">
        <f>Tabla1[[#This Row],[Cantidad Vendida]]*Tabla1[[#This Row],[Precio Unitario (USD)]]</f>
        <v>754.88</v>
      </c>
      <c r="I395" s="21">
        <v>7.65</v>
      </c>
      <c r="J395" s="5">
        <f t="shared" si="20"/>
        <v>5774.8320000000003</v>
      </c>
      <c r="K395" t="str">
        <f>IF(Tabla1[[#This Row],[Venta Total (Q)]] = 0, "Sin ventas", "Con ventas")</f>
        <v>Con ventas</v>
      </c>
      <c r="L395" s="20">
        <f t="shared" si="18"/>
        <v>264.20799999999997</v>
      </c>
      <c r="M395" s="20">
        <f t="shared" si="19"/>
        <v>528.41599999999994</v>
      </c>
      <c r="N395" s="20">
        <f>Tabla1[[#This Row],[Venta Total (USD)]] - Tabla1[[#This Row],[Costo Total (USD)]]</f>
        <v>226.46400000000006</v>
      </c>
    </row>
    <row r="396" spans="1:14" x14ac:dyDescent="0.25">
      <c r="A396" t="s">
        <v>15</v>
      </c>
      <c r="B396" t="s">
        <v>21</v>
      </c>
      <c r="C396" t="s">
        <v>22</v>
      </c>
      <c r="D396">
        <v>2022</v>
      </c>
      <c r="E396">
        <v>6</v>
      </c>
      <c r="F396">
        <v>2</v>
      </c>
      <c r="G396" s="20">
        <v>362.82</v>
      </c>
      <c r="H396" s="20">
        <f>Tabla1[[#This Row],[Cantidad Vendida]]*Tabla1[[#This Row],[Precio Unitario (USD)]]</f>
        <v>725.64</v>
      </c>
      <c r="I396" s="21">
        <v>7.95</v>
      </c>
      <c r="J396" s="5">
        <f t="shared" si="20"/>
        <v>5768.8379999999997</v>
      </c>
      <c r="K396" t="str">
        <f>IF(Tabla1[[#This Row],[Venta Total (Q)]] = 0, "Sin ventas", "Con ventas")</f>
        <v>Con ventas</v>
      </c>
      <c r="L396" s="20">
        <f t="shared" si="18"/>
        <v>253.97399999999999</v>
      </c>
      <c r="M396" s="20">
        <f t="shared" si="19"/>
        <v>507.94799999999998</v>
      </c>
      <c r="N396" s="20">
        <f>Tabla1[[#This Row],[Venta Total (USD)]] - Tabla1[[#This Row],[Costo Total (USD)]]</f>
        <v>217.69200000000001</v>
      </c>
    </row>
    <row r="397" spans="1:14" x14ac:dyDescent="0.25">
      <c r="A397" t="s">
        <v>10</v>
      </c>
      <c r="B397" t="s">
        <v>21</v>
      </c>
      <c r="C397" t="s">
        <v>22</v>
      </c>
      <c r="D397">
        <v>2024</v>
      </c>
      <c r="E397">
        <v>11</v>
      </c>
      <c r="F397">
        <v>9</v>
      </c>
      <c r="G397" s="20">
        <v>196.96</v>
      </c>
      <c r="H397" s="20">
        <f>Tabla1[[#This Row],[Cantidad Vendida]]*Tabla1[[#This Row],[Precio Unitario (USD)]]</f>
        <v>1772.64</v>
      </c>
      <c r="I397" s="21">
        <v>8.0500000000000007</v>
      </c>
      <c r="J397" s="5">
        <f t="shared" si="20"/>
        <v>14269.752000000002</v>
      </c>
      <c r="K397" t="str">
        <f>IF(Tabla1[[#This Row],[Venta Total (Q)]] = 0, "Sin ventas", "Con ventas")</f>
        <v>Con ventas</v>
      </c>
      <c r="L397" s="20">
        <f t="shared" si="18"/>
        <v>137.87199999999999</v>
      </c>
      <c r="M397" s="20">
        <f t="shared" si="19"/>
        <v>1240.848</v>
      </c>
      <c r="N397" s="20">
        <f>Tabla1[[#This Row],[Venta Total (USD)]] - Tabla1[[#This Row],[Costo Total (USD)]]</f>
        <v>531.79200000000014</v>
      </c>
    </row>
    <row r="398" spans="1:14" x14ac:dyDescent="0.25">
      <c r="A398" t="s">
        <v>10</v>
      </c>
      <c r="B398" t="s">
        <v>28</v>
      </c>
      <c r="C398" t="s">
        <v>39</v>
      </c>
      <c r="D398">
        <v>2022</v>
      </c>
      <c r="E398">
        <v>6</v>
      </c>
      <c r="F398">
        <v>12</v>
      </c>
      <c r="G398" s="20">
        <v>88.77</v>
      </c>
      <c r="H398" s="20">
        <f>Tabla1[[#This Row],[Cantidad Vendida]]*Tabla1[[#This Row],[Precio Unitario (USD)]]</f>
        <v>1065.24</v>
      </c>
      <c r="I398" s="21">
        <v>8.44</v>
      </c>
      <c r="J398" s="5">
        <f t="shared" si="20"/>
        <v>8990.6255999999994</v>
      </c>
      <c r="K398" t="str">
        <f>IF(Tabla1[[#This Row],[Venta Total (Q)]] = 0, "Sin ventas", "Con ventas")</f>
        <v>Con ventas</v>
      </c>
      <c r="L398" s="20">
        <f t="shared" si="18"/>
        <v>62.138999999999996</v>
      </c>
      <c r="M398" s="20">
        <f t="shared" si="19"/>
        <v>745.66799999999989</v>
      </c>
      <c r="N398" s="20">
        <f>Tabla1[[#This Row],[Venta Total (USD)]] - Tabla1[[#This Row],[Costo Total (USD)]]</f>
        <v>319.57200000000012</v>
      </c>
    </row>
    <row r="399" spans="1:14" x14ac:dyDescent="0.25">
      <c r="A399" t="s">
        <v>15</v>
      </c>
      <c r="B399" t="s">
        <v>17</v>
      </c>
      <c r="C399" t="s">
        <v>19</v>
      </c>
      <c r="D399">
        <v>2022</v>
      </c>
      <c r="E399">
        <v>6</v>
      </c>
      <c r="F399">
        <v>17</v>
      </c>
      <c r="G399" s="20">
        <v>199.14</v>
      </c>
      <c r="H399" s="20">
        <f>Tabla1[[#This Row],[Cantidad Vendida]]*Tabla1[[#This Row],[Precio Unitario (USD)]]</f>
        <v>3385.3799999999997</v>
      </c>
      <c r="I399" s="21">
        <v>8.26</v>
      </c>
      <c r="J399" s="5">
        <f t="shared" si="20"/>
        <v>27963.238799999996</v>
      </c>
      <c r="K399" t="str">
        <f>IF(Tabla1[[#This Row],[Venta Total (Q)]] = 0, "Sin ventas", "Con ventas")</f>
        <v>Con ventas</v>
      </c>
      <c r="L399" s="20">
        <f t="shared" si="18"/>
        <v>139.39799999999997</v>
      </c>
      <c r="M399" s="20">
        <f t="shared" si="19"/>
        <v>2369.7659999999996</v>
      </c>
      <c r="N399" s="20">
        <f>Tabla1[[#This Row],[Venta Total (USD)]] - Tabla1[[#This Row],[Costo Total (USD)]]</f>
        <v>1015.614</v>
      </c>
    </row>
    <row r="400" spans="1:14" x14ac:dyDescent="0.25">
      <c r="A400" t="s">
        <v>10</v>
      </c>
      <c r="B400" t="s">
        <v>28</v>
      </c>
      <c r="C400" t="s">
        <v>29</v>
      </c>
      <c r="D400">
        <v>2022</v>
      </c>
      <c r="E400">
        <v>2</v>
      </c>
      <c r="F400">
        <v>9</v>
      </c>
      <c r="G400" s="20">
        <v>152.69</v>
      </c>
      <c r="H400" s="20">
        <f>Tabla1[[#This Row],[Cantidad Vendida]]*Tabla1[[#This Row],[Precio Unitario (USD)]]</f>
        <v>1374.21</v>
      </c>
      <c r="I400" s="21">
        <v>8.31</v>
      </c>
      <c r="J400" s="5">
        <f t="shared" si="20"/>
        <v>11419.685100000001</v>
      </c>
      <c r="K400" t="str">
        <f>IF(Tabla1[[#This Row],[Venta Total (Q)]] = 0, "Sin ventas", "Con ventas")</f>
        <v>Con ventas</v>
      </c>
      <c r="L400" s="20">
        <f t="shared" si="18"/>
        <v>106.883</v>
      </c>
      <c r="M400" s="20">
        <f t="shared" si="19"/>
        <v>961.947</v>
      </c>
      <c r="N400" s="20">
        <f>Tabla1[[#This Row],[Venta Total (USD)]] - Tabla1[[#This Row],[Costo Total (USD)]]</f>
        <v>412.26300000000003</v>
      </c>
    </row>
    <row r="401" spans="1:14" x14ac:dyDescent="0.25">
      <c r="A401" t="s">
        <v>16</v>
      </c>
      <c r="B401" t="s">
        <v>11</v>
      </c>
      <c r="C401" t="s">
        <v>37</v>
      </c>
      <c r="D401">
        <v>2025</v>
      </c>
      <c r="E401">
        <v>9</v>
      </c>
      <c r="F401">
        <v>6</v>
      </c>
      <c r="G401" s="20">
        <v>192.88</v>
      </c>
      <c r="H401" s="20">
        <f>Tabla1[[#This Row],[Cantidad Vendida]]*Tabla1[[#This Row],[Precio Unitario (USD)]]</f>
        <v>1157.28</v>
      </c>
      <c r="I401" s="21">
        <v>8.34</v>
      </c>
      <c r="J401" s="5">
        <f t="shared" si="20"/>
        <v>9651.7151999999987</v>
      </c>
      <c r="K401" t="str">
        <f>IF(Tabla1[[#This Row],[Venta Total (Q)]] = 0, "Sin ventas", "Con ventas")</f>
        <v>Con ventas</v>
      </c>
      <c r="L401" s="20">
        <f t="shared" si="18"/>
        <v>135.01599999999999</v>
      </c>
      <c r="M401" s="20">
        <f t="shared" si="19"/>
        <v>810.096</v>
      </c>
      <c r="N401" s="20">
        <f>Tabla1[[#This Row],[Venta Total (USD)]] - Tabla1[[#This Row],[Costo Total (USD)]]</f>
        <v>347.18399999999997</v>
      </c>
    </row>
    <row r="402" spans="1:14" x14ac:dyDescent="0.25">
      <c r="A402" t="s">
        <v>10</v>
      </c>
      <c r="B402" t="s">
        <v>11</v>
      </c>
      <c r="C402" t="s">
        <v>25</v>
      </c>
      <c r="D402">
        <v>2024</v>
      </c>
      <c r="E402">
        <v>12</v>
      </c>
      <c r="F402">
        <v>9</v>
      </c>
      <c r="G402" s="20">
        <v>284.41000000000003</v>
      </c>
      <c r="H402" s="20">
        <f>Tabla1[[#This Row],[Cantidad Vendida]]*Tabla1[[#This Row],[Precio Unitario (USD)]]</f>
        <v>2559.69</v>
      </c>
      <c r="I402" s="21">
        <v>7.88</v>
      </c>
      <c r="J402" s="5">
        <f t="shared" si="20"/>
        <v>20170.357199999999</v>
      </c>
      <c r="K402" t="str">
        <f>IF(Tabla1[[#This Row],[Venta Total (Q)]] = 0, "Sin ventas", "Con ventas")</f>
        <v>Con ventas</v>
      </c>
      <c r="L402" s="20">
        <f t="shared" si="18"/>
        <v>199.08700000000002</v>
      </c>
      <c r="M402" s="20">
        <f t="shared" si="19"/>
        <v>1791.7830000000001</v>
      </c>
      <c r="N402" s="20">
        <f>Tabla1[[#This Row],[Venta Total (USD)]] - Tabla1[[#This Row],[Costo Total (USD)]]</f>
        <v>767.90699999999993</v>
      </c>
    </row>
    <row r="403" spans="1:14" x14ac:dyDescent="0.25">
      <c r="A403" t="s">
        <v>15</v>
      </c>
      <c r="B403" t="s">
        <v>28</v>
      </c>
      <c r="C403" t="s">
        <v>38</v>
      </c>
      <c r="D403">
        <v>2024</v>
      </c>
      <c r="E403">
        <v>9</v>
      </c>
      <c r="F403">
        <v>20</v>
      </c>
      <c r="G403" s="20">
        <v>395.63</v>
      </c>
      <c r="H403" s="20">
        <f>Tabla1[[#This Row],[Cantidad Vendida]]*Tabla1[[#This Row],[Precio Unitario (USD)]]</f>
        <v>7912.6</v>
      </c>
      <c r="I403" s="21">
        <v>8.07</v>
      </c>
      <c r="J403" s="5">
        <f t="shared" si="20"/>
        <v>63854.682000000008</v>
      </c>
      <c r="K403" t="str">
        <f>IF(Tabla1[[#This Row],[Venta Total (Q)]] = 0, "Sin ventas", "Con ventas")</f>
        <v>Con ventas</v>
      </c>
      <c r="L403" s="20">
        <f t="shared" si="18"/>
        <v>276.94099999999997</v>
      </c>
      <c r="M403" s="20">
        <f t="shared" si="19"/>
        <v>5538.82</v>
      </c>
      <c r="N403" s="20">
        <f>Tabla1[[#This Row],[Venta Total (USD)]] - Tabla1[[#This Row],[Costo Total (USD)]]</f>
        <v>2373.7800000000007</v>
      </c>
    </row>
    <row r="404" spans="1:14" x14ac:dyDescent="0.25">
      <c r="A404" t="s">
        <v>10</v>
      </c>
      <c r="B404" t="s">
        <v>28</v>
      </c>
      <c r="C404" t="s">
        <v>39</v>
      </c>
      <c r="D404">
        <v>2024</v>
      </c>
      <c r="E404">
        <v>4</v>
      </c>
      <c r="F404">
        <v>7</v>
      </c>
      <c r="G404" s="20">
        <v>305.47000000000003</v>
      </c>
      <c r="H404" s="20">
        <f>Tabla1[[#This Row],[Cantidad Vendida]]*Tabla1[[#This Row],[Precio Unitario (USD)]]</f>
        <v>2138.29</v>
      </c>
      <c r="I404" s="21">
        <v>7.67</v>
      </c>
      <c r="J404" s="5">
        <f t="shared" si="20"/>
        <v>16400.684300000001</v>
      </c>
      <c r="K404" t="str">
        <f>IF(Tabla1[[#This Row],[Venta Total (Q)]] = 0, "Sin ventas", "Con ventas")</f>
        <v>Con ventas</v>
      </c>
      <c r="L404" s="20">
        <f t="shared" si="18"/>
        <v>213.82900000000001</v>
      </c>
      <c r="M404" s="20">
        <f t="shared" si="19"/>
        <v>1496.8030000000001</v>
      </c>
      <c r="N404" s="20">
        <f>Tabla1[[#This Row],[Venta Total (USD)]] - Tabla1[[#This Row],[Costo Total (USD)]]</f>
        <v>641.48699999999985</v>
      </c>
    </row>
    <row r="405" spans="1:14" x14ac:dyDescent="0.25">
      <c r="A405" t="s">
        <v>15</v>
      </c>
      <c r="B405" t="s">
        <v>17</v>
      </c>
      <c r="C405" t="s">
        <v>26</v>
      </c>
      <c r="D405">
        <v>2025</v>
      </c>
      <c r="E405">
        <v>12</v>
      </c>
      <c r="F405">
        <v>5</v>
      </c>
      <c r="G405" s="20">
        <v>112.87</v>
      </c>
      <c r="H405" s="20">
        <f>Tabla1[[#This Row],[Cantidad Vendida]]*Tabla1[[#This Row],[Precio Unitario (USD)]]</f>
        <v>564.35</v>
      </c>
      <c r="I405" s="21">
        <v>8.27</v>
      </c>
      <c r="J405" s="5">
        <f t="shared" si="20"/>
        <v>4667.1745000000001</v>
      </c>
      <c r="K405" t="str">
        <f>IF(Tabla1[[#This Row],[Venta Total (Q)]] = 0, "Sin ventas", "Con ventas")</f>
        <v>Con ventas</v>
      </c>
      <c r="L405" s="20">
        <f t="shared" si="18"/>
        <v>79.009</v>
      </c>
      <c r="M405" s="20">
        <f t="shared" si="19"/>
        <v>395.04500000000002</v>
      </c>
      <c r="N405" s="20">
        <f>Tabla1[[#This Row],[Venta Total (USD)]] - Tabla1[[#This Row],[Costo Total (USD)]]</f>
        <v>169.30500000000001</v>
      </c>
    </row>
    <row r="406" spans="1:14" x14ac:dyDescent="0.25">
      <c r="A406" t="s">
        <v>35</v>
      </c>
      <c r="B406" t="s">
        <v>13</v>
      </c>
      <c r="C406" t="s">
        <v>14</v>
      </c>
      <c r="D406">
        <v>2022</v>
      </c>
      <c r="E406">
        <v>1</v>
      </c>
      <c r="F406">
        <v>15</v>
      </c>
      <c r="G406" s="20">
        <v>288.7</v>
      </c>
      <c r="H406" s="20">
        <f>Tabla1[[#This Row],[Cantidad Vendida]]*Tabla1[[#This Row],[Precio Unitario (USD)]]</f>
        <v>4330.5</v>
      </c>
      <c r="I406" s="21">
        <v>8.4600000000000009</v>
      </c>
      <c r="J406" s="5">
        <f t="shared" si="20"/>
        <v>36636.030000000006</v>
      </c>
      <c r="K406" t="str">
        <f>IF(Tabla1[[#This Row],[Venta Total (Q)]] = 0, "Sin ventas", "Con ventas")</f>
        <v>Con ventas</v>
      </c>
      <c r="L406" s="20">
        <f t="shared" si="18"/>
        <v>202.08999999999997</v>
      </c>
      <c r="M406" s="20">
        <f t="shared" si="19"/>
        <v>3031.3499999999995</v>
      </c>
      <c r="N406" s="20">
        <f>Tabla1[[#This Row],[Venta Total (USD)]] - Tabla1[[#This Row],[Costo Total (USD)]]</f>
        <v>1299.1500000000005</v>
      </c>
    </row>
    <row r="407" spans="1:14" x14ac:dyDescent="0.25">
      <c r="A407" t="s">
        <v>15</v>
      </c>
      <c r="B407" t="s">
        <v>21</v>
      </c>
      <c r="C407" t="s">
        <v>34</v>
      </c>
      <c r="D407">
        <v>2023</v>
      </c>
      <c r="E407">
        <v>7</v>
      </c>
      <c r="F407">
        <v>3</v>
      </c>
      <c r="G407" s="20">
        <v>262.2</v>
      </c>
      <c r="H407" s="20">
        <f>Tabla1[[#This Row],[Cantidad Vendida]]*Tabla1[[#This Row],[Precio Unitario (USD)]]</f>
        <v>786.59999999999991</v>
      </c>
      <c r="I407" s="21">
        <v>7.78</v>
      </c>
      <c r="J407" s="5">
        <f t="shared" si="20"/>
        <v>6119.7479999999996</v>
      </c>
      <c r="K407" t="str">
        <f>IF(Tabla1[[#This Row],[Venta Total (Q)]] = 0, "Sin ventas", "Con ventas")</f>
        <v>Con ventas</v>
      </c>
      <c r="L407" s="20">
        <f t="shared" si="18"/>
        <v>183.54</v>
      </c>
      <c r="M407" s="20">
        <f t="shared" si="19"/>
        <v>550.62</v>
      </c>
      <c r="N407" s="20">
        <f>Tabla1[[#This Row],[Venta Total (USD)]] - Tabla1[[#This Row],[Costo Total (USD)]]</f>
        <v>235.9799999999999</v>
      </c>
    </row>
    <row r="408" spans="1:14" x14ac:dyDescent="0.25">
      <c r="A408" t="s">
        <v>10</v>
      </c>
      <c r="B408" t="s">
        <v>21</v>
      </c>
      <c r="C408" t="s">
        <v>22</v>
      </c>
      <c r="D408">
        <v>2022</v>
      </c>
      <c r="E408">
        <v>1</v>
      </c>
      <c r="F408">
        <v>11</v>
      </c>
      <c r="G408" s="20">
        <v>247.9</v>
      </c>
      <c r="H408" s="20">
        <f>Tabla1[[#This Row],[Cantidad Vendida]]*Tabla1[[#This Row],[Precio Unitario (USD)]]</f>
        <v>2726.9</v>
      </c>
      <c r="I408" s="21">
        <v>7.96</v>
      </c>
      <c r="J408" s="5">
        <f t="shared" si="20"/>
        <v>21706.124</v>
      </c>
      <c r="K408" t="str">
        <f>IF(Tabla1[[#This Row],[Venta Total (Q)]] = 0, "Sin ventas", "Con ventas")</f>
        <v>Con ventas</v>
      </c>
      <c r="L408" s="20">
        <f t="shared" si="18"/>
        <v>173.53</v>
      </c>
      <c r="M408" s="20">
        <f t="shared" si="19"/>
        <v>1908.83</v>
      </c>
      <c r="N408" s="20">
        <f>Tabla1[[#This Row],[Venta Total (USD)]] - Tabla1[[#This Row],[Costo Total (USD)]]</f>
        <v>818.07000000000016</v>
      </c>
    </row>
    <row r="409" spans="1:14" x14ac:dyDescent="0.25">
      <c r="A409" t="s">
        <v>15</v>
      </c>
      <c r="B409" t="s">
        <v>13</v>
      </c>
      <c r="C409" t="s">
        <v>27</v>
      </c>
      <c r="D409">
        <v>2024</v>
      </c>
      <c r="E409">
        <v>10</v>
      </c>
      <c r="F409">
        <v>16</v>
      </c>
      <c r="G409" s="20">
        <v>396.23</v>
      </c>
      <c r="H409" s="20">
        <f>Tabla1[[#This Row],[Cantidad Vendida]]*Tabla1[[#This Row],[Precio Unitario (USD)]]</f>
        <v>6339.68</v>
      </c>
      <c r="I409" s="21">
        <v>7.64</v>
      </c>
      <c r="J409" s="5">
        <f t="shared" si="20"/>
        <v>48435.155200000001</v>
      </c>
      <c r="K409" t="str">
        <f>IF(Tabla1[[#This Row],[Venta Total (Q)]] = 0, "Sin ventas", "Con ventas")</f>
        <v>Con ventas</v>
      </c>
      <c r="L409" s="20">
        <f t="shared" si="18"/>
        <v>277.36099999999999</v>
      </c>
      <c r="M409" s="20">
        <f t="shared" si="19"/>
        <v>4437.7759999999998</v>
      </c>
      <c r="N409" s="20">
        <f>Tabla1[[#This Row],[Venta Total (USD)]] - Tabla1[[#This Row],[Costo Total (USD)]]</f>
        <v>1901.9040000000005</v>
      </c>
    </row>
    <row r="410" spans="1:14" x14ac:dyDescent="0.25">
      <c r="A410" t="s">
        <v>10</v>
      </c>
      <c r="B410" t="s">
        <v>28</v>
      </c>
      <c r="C410" t="s">
        <v>39</v>
      </c>
      <c r="D410">
        <v>2024</v>
      </c>
      <c r="E410">
        <v>2</v>
      </c>
      <c r="F410">
        <v>3</v>
      </c>
      <c r="G410" s="20">
        <v>288.89</v>
      </c>
      <c r="H410" s="20">
        <f>Tabla1[[#This Row],[Cantidad Vendida]]*Tabla1[[#This Row],[Precio Unitario (USD)]]</f>
        <v>866.67</v>
      </c>
      <c r="I410" s="21">
        <v>8.39</v>
      </c>
      <c r="J410" s="5">
        <f t="shared" si="20"/>
        <v>7271.3613000000005</v>
      </c>
      <c r="K410" t="str">
        <f>IF(Tabla1[[#This Row],[Venta Total (Q)]] = 0, "Sin ventas", "Con ventas")</f>
        <v>Con ventas</v>
      </c>
      <c r="L410" s="20">
        <f t="shared" si="18"/>
        <v>202.22299999999998</v>
      </c>
      <c r="M410" s="20">
        <f t="shared" si="19"/>
        <v>606.66899999999998</v>
      </c>
      <c r="N410" s="20">
        <f>Tabla1[[#This Row],[Venta Total (USD)]] - Tabla1[[#This Row],[Costo Total (USD)]]</f>
        <v>260.00099999999998</v>
      </c>
    </row>
    <row r="411" spans="1:14" x14ac:dyDescent="0.25">
      <c r="A411" t="s">
        <v>16</v>
      </c>
      <c r="B411" t="s">
        <v>11</v>
      </c>
      <c r="C411" t="s">
        <v>12</v>
      </c>
      <c r="D411">
        <v>2025</v>
      </c>
      <c r="E411">
        <v>12</v>
      </c>
      <c r="F411">
        <v>19</v>
      </c>
      <c r="G411" s="20">
        <v>346.17</v>
      </c>
      <c r="H411" s="20">
        <f>Tabla1[[#This Row],[Cantidad Vendida]]*Tabla1[[#This Row],[Precio Unitario (USD)]]</f>
        <v>6577.2300000000005</v>
      </c>
      <c r="I411" s="21">
        <v>8.26</v>
      </c>
      <c r="J411" s="5">
        <f t="shared" si="20"/>
        <v>54327.919800000003</v>
      </c>
      <c r="K411" t="str">
        <f>IF(Tabla1[[#This Row],[Venta Total (Q)]] = 0, "Sin ventas", "Con ventas")</f>
        <v>Con ventas</v>
      </c>
      <c r="L411" s="20">
        <f t="shared" si="18"/>
        <v>242.31899999999999</v>
      </c>
      <c r="M411" s="20">
        <f t="shared" si="19"/>
        <v>4604.0609999999997</v>
      </c>
      <c r="N411" s="20">
        <f>Tabla1[[#This Row],[Venta Total (USD)]] - Tabla1[[#This Row],[Costo Total (USD)]]</f>
        <v>1973.1690000000008</v>
      </c>
    </row>
    <row r="412" spans="1:14" x14ac:dyDescent="0.25">
      <c r="A412" t="s">
        <v>35</v>
      </c>
      <c r="B412" t="s">
        <v>13</v>
      </c>
      <c r="C412" t="s">
        <v>36</v>
      </c>
      <c r="D412">
        <v>2022</v>
      </c>
      <c r="E412">
        <v>7</v>
      </c>
      <c r="F412">
        <v>11</v>
      </c>
      <c r="G412" s="20">
        <v>85.32</v>
      </c>
      <c r="H412" s="20">
        <f>Tabla1[[#This Row],[Cantidad Vendida]]*Tabla1[[#This Row],[Precio Unitario (USD)]]</f>
        <v>938.52</v>
      </c>
      <c r="I412" s="21">
        <v>7.98</v>
      </c>
      <c r="J412" s="5">
        <f t="shared" si="20"/>
        <v>7489.3896000000004</v>
      </c>
      <c r="K412" t="str">
        <f>IF(Tabla1[[#This Row],[Venta Total (Q)]] = 0, "Sin ventas", "Con ventas")</f>
        <v>Con ventas</v>
      </c>
      <c r="L412" s="20">
        <f t="shared" si="18"/>
        <v>59.72399999999999</v>
      </c>
      <c r="M412" s="20">
        <f t="shared" si="19"/>
        <v>656.96399999999994</v>
      </c>
      <c r="N412" s="20">
        <f>Tabla1[[#This Row],[Venta Total (USD)]] - Tabla1[[#This Row],[Costo Total (USD)]]</f>
        <v>281.55600000000004</v>
      </c>
    </row>
    <row r="413" spans="1:14" x14ac:dyDescent="0.25">
      <c r="A413" t="s">
        <v>20</v>
      </c>
      <c r="B413" t="s">
        <v>13</v>
      </c>
      <c r="C413" t="s">
        <v>27</v>
      </c>
      <c r="D413">
        <v>2024</v>
      </c>
      <c r="E413">
        <v>5</v>
      </c>
      <c r="F413">
        <v>11</v>
      </c>
      <c r="G413" s="20">
        <v>207.37</v>
      </c>
      <c r="H413" s="20">
        <f>Tabla1[[#This Row],[Cantidad Vendida]]*Tabla1[[#This Row],[Precio Unitario (USD)]]</f>
        <v>2281.0700000000002</v>
      </c>
      <c r="I413" s="21">
        <v>7.8</v>
      </c>
      <c r="J413" s="5">
        <f t="shared" si="20"/>
        <v>17792.346000000001</v>
      </c>
      <c r="K413" t="str">
        <f>IF(Tabla1[[#This Row],[Venta Total (Q)]] = 0, "Sin ventas", "Con ventas")</f>
        <v>Con ventas</v>
      </c>
      <c r="L413" s="20">
        <f t="shared" si="18"/>
        <v>145.15899999999999</v>
      </c>
      <c r="M413" s="20">
        <f t="shared" si="19"/>
        <v>1596.7489999999998</v>
      </c>
      <c r="N413" s="20">
        <f>Tabla1[[#This Row],[Venta Total (USD)]] - Tabla1[[#This Row],[Costo Total (USD)]]</f>
        <v>684.32100000000037</v>
      </c>
    </row>
    <row r="414" spans="1:14" x14ac:dyDescent="0.25">
      <c r="A414" t="s">
        <v>15</v>
      </c>
      <c r="B414" t="s">
        <v>13</v>
      </c>
      <c r="C414" t="s">
        <v>36</v>
      </c>
      <c r="D414">
        <v>2022</v>
      </c>
      <c r="E414">
        <v>5</v>
      </c>
      <c r="F414">
        <v>20</v>
      </c>
      <c r="G414" s="20">
        <v>206.93</v>
      </c>
      <c r="H414" s="20">
        <f>Tabla1[[#This Row],[Cantidad Vendida]]*Tabla1[[#This Row],[Precio Unitario (USD)]]</f>
        <v>4138.6000000000004</v>
      </c>
      <c r="I414" s="21">
        <v>7.88</v>
      </c>
      <c r="J414" s="5">
        <f t="shared" si="20"/>
        <v>32612.168000000001</v>
      </c>
      <c r="K414" t="str">
        <f>IF(Tabla1[[#This Row],[Venta Total (Q)]] = 0, "Sin ventas", "Con ventas")</f>
        <v>Con ventas</v>
      </c>
      <c r="L414" s="20">
        <f t="shared" si="18"/>
        <v>144.851</v>
      </c>
      <c r="M414" s="20">
        <f t="shared" si="19"/>
        <v>2897.02</v>
      </c>
      <c r="N414" s="20">
        <f>Tabla1[[#This Row],[Venta Total (USD)]] - Tabla1[[#This Row],[Costo Total (USD)]]</f>
        <v>1241.5800000000004</v>
      </c>
    </row>
    <row r="415" spans="1:14" x14ac:dyDescent="0.25">
      <c r="A415" t="s">
        <v>16</v>
      </c>
      <c r="B415" t="s">
        <v>13</v>
      </c>
      <c r="C415" t="s">
        <v>27</v>
      </c>
      <c r="D415">
        <v>2024</v>
      </c>
      <c r="E415">
        <v>4</v>
      </c>
      <c r="F415">
        <v>7</v>
      </c>
      <c r="G415" s="20">
        <v>131.18</v>
      </c>
      <c r="H415" s="20">
        <f>Tabla1[[#This Row],[Cantidad Vendida]]*Tabla1[[#This Row],[Precio Unitario (USD)]]</f>
        <v>918.26</v>
      </c>
      <c r="I415" s="21">
        <v>8.0399999999999991</v>
      </c>
      <c r="J415" s="5">
        <f t="shared" si="20"/>
        <v>7382.8103999999994</v>
      </c>
      <c r="K415" t="str">
        <f>IF(Tabla1[[#This Row],[Venta Total (Q)]] = 0, "Sin ventas", "Con ventas")</f>
        <v>Con ventas</v>
      </c>
      <c r="L415" s="20">
        <f t="shared" si="18"/>
        <v>91.825999999999993</v>
      </c>
      <c r="M415" s="20">
        <f t="shared" si="19"/>
        <v>642.78199999999993</v>
      </c>
      <c r="N415" s="20">
        <f>Tabla1[[#This Row],[Venta Total (USD)]] - Tabla1[[#This Row],[Costo Total (USD)]]</f>
        <v>275.47800000000007</v>
      </c>
    </row>
    <row r="416" spans="1:14" x14ac:dyDescent="0.25">
      <c r="A416" t="s">
        <v>31</v>
      </c>
      <c r="B416" t="s">
        <v>11</v>
      </c>
      <c r="C416" t="s">
        <v>23</v>
      </c>
      <c r="D416">
        <v>2023</v>
      </c>
      <c r="E416">
        <v>4</v>
      </c>
      <c r="F416">
        <v>3</v>
      </c>
      <c r="G416" s="20">
        <v>276.36</v>
      </c>
      <c r="H416" s="20">
        <f>Tabla1[[#This Row],[Cantidad Vendida]]*Tabla1[[#This Row],[Precio Unitario (USD)]]</f>
        <v>829.08</v>
      </c>
      <c r="I416" s="21">
        <v>8.43</v>
      </c>
      <c r="J416" s="5">
        <f t="shared" si="20"/>
        <v>6989.1444000000001</v>
      </c>
      <c r="K416" t="str">
        <f>IF(Tabla1[[#This Row],[Venta Total (Q)]] = 0, "Sin ventas", "Con ventas")</f>
        <v>Con ventas</v>
      </c>
      <c r="L416" s="20">
        <f t="shared" si="18"/>
        <v>193.452</v>
      </c>
      <c r="M416" s="20">
        <f t="shared" si="19"/>
        <v>580.35599999999999</v>
      </c>
      <c r="N416" s="20">
        <f>Tabla1[[#This Row],[Venta Total (USD)]] - Tabla1[[#This Row],[Costo Total (USD)]]</f>
        <v>248.72400000000005</v>
      </c>
    </row>
    <row r="417" spans="1:14" x14ac:dyDescent="0.25">
      <c r="A417" t="s">
        <v>35</v>
      </c>
      <c r="B417" t="s">
        <v>28</v>
      </c>
      <c r="C417" t="s">
        <v>40</v>
      </c>
      <c r="D417">
        <v>2023</v>
      </c>
      <c r="E417">
        <v>4</v>
      </c>
      <c r="F417">
        <v>2</v>
      </c>
      <c r="G417" s="20">
        <v>39.049999999999997</v>
      </c>
      <c r="H417" s="20">
        <f>Tabla1[[#This Row],[Cantidad Vendida]]*Tabla1[[#This Row],[Precio Unitario (USD)]]</f>
        <v>78.099999999999994</v>
      </c>
      <c r="I417" s="21">
        <v>8.34</v>
      </c>
      <c r="J417" s="5">
        <f t="shared" si="20"/>
        <v>651.35399999999993</v>
      </c>
      <c r="K417" t="str">
        <f>IF(Tabla1[[#This Row],[Venta Total (Q)]] = 0, "Sin ventas", "Con ventas")</f>
        <v>Con ventas</v>
      </c>
      <c r="L417" s="20">
        <f t="shared" si="18"/>
        <v>27.334999999999997</v>
      </c>
      <c r="M417" s="20">
        <f t="shared" si="19"/>
        <v>54.669999999999995</v>
      </c>
      <c r="N417" s="20">
        <f>Tabla1[[#This Row],[Venta Total (USD)]] - Tabla1[[#This Row],[Costo Total (USD)]]</f>
        <v>23.43</v>
      </c>
    </row>
    <row r="418" spans="1:14" x14ac:dyDescent="0.25">
      <c r="A418" t="s">
        <v>16</v>
      </c>
      <c r="B418" t="s">
        <v>17</v>
      </c>
      <c r="C418" t="s">
        <v>19</v>
      </c>
      <c r="D418">
        <v>2024</v>
      </c>
      <c r="E418">
        <v>4</v>
      </c>
      <c r="F418">
        <v>9</v>
      </c>
      <c r="G418" s="20">
        <v>279.52</v>
      </c>
      <c r="H418" s="20">
        <f>Tabla1[[#This Row],[Cantidad Vendida]]*Tabla1[[#This Row],[Precio Unitario (USD)]]</f>
        <v>2515.6799999999998</v>
      </c>
      <c r="I418" s="21">
        <v>7.77</v>
      </c>
      <c r="J418" s="5">
        <f t="shared" si="20"/>
        <v>19546.833599999998</v>
      </c>
      <c r="K418" t="str">
        <f>IF(Tabla1[[#This Row],[Venta Total (Q)]] = 0, "Sin ventas", "Con ventas")</f>
        <v>Con ventas</v>
      </c>
      <c r="L418" s="20">
        <f t="shared" si="18"/>
        <v>195.66399999999999</v>
      </c>
      <c r="M418" s="20">
        <f t="shared" si="19"/>
        <v>1760.9759999999999</v>
      </c>
      <c r="N418" s="20">
        <f>Tabla1[[#This Row],[Venta Total (USD)]] - Tabla1[[#This Row],[Costo Total (USD)]]</f>
        <v>754.70399999999995</v>
      </c>
    </row>
    <row r="419" spans="1:14" x14ac:dyDescent="0.25">
      <c r="A419" t="s">
        <v>10</v>
      </c>
      <c r="B419" t="s">
        <v>28</v>
      </c>
      <c r="C419" t="s">
        <v>29</v>
      </c>
      <c r="D419">
        <v>2023</v>
      </c>
      <c r="E419">
        <v>8</v>
      </c>
      <c r="F419">
        <v>14</v>
      </c>
      <c r="G419" s="20">
        <v>47.5</v>
      </c>
      <c r="H419" s="20">
        <f>Tabla1[[#This Row],[Cantidad Vendida]]*Tabla1[[#This Row],[Precio Unitario (USD)]]</f>
        <v>665</v>
      </c>
      <c r="I419" s="21">
        <v>7.57</v>
      </c>
      <c r="J419" s="5">
        <f t="shared" si="20"/>
        <v>5034.05</v>
      </c>
      <c r="K419" t="str">
        <f>IF(Tabla1[[#This Row],[Venta Total (Q)]] = 0, "Sin ventas", "Con ventas")</f>
        <v>Con ventas</v>
      </c>
      <c r="L419" s="20">
        <f t="shared" si="18"/>
        <v>33.25</v>
      </c>
      <c r="M419" s="20">
        <f t="shared" si="19"/>
        <v>465.5</v>
      </c>
      <c r="N419" s="20">
        <f>Tabla1[[#This Row],[Venta Total (USD)]] - Tabla1[[#This Row],[Costo Total (USD)]]</f>
        <v>199.5</v>
      </c>
    </row>
    <row r="420" spans="1:14" x14ac:dyDescent="0.25">
      <c r="A420" t="s">
        <v>16</v>
      </c>
      <c r="B420" t="s">
        <v>21</v>
      </c>
      <c r="C420" t="s">
        <v>34</v>
      </c>
      <c r="D420">
        <v>2023</v>
      </c>
      <c r="E420">
        <v>3</v>
      </c>
      <c r="F420">
        <v>12</v>
      </c>
      <c r="G420" s="20">
        <v>493.46</v>
      </c>
      <c r="H420" s="20">
        <f>Tabla1[[#This Row],[Cantidad Vendida]]*Tabla1[[#This Row],[Precio Unitario (USD)]]</f>
        <v>5921.5199999999995</v>
      </c>
      <c r="I420" s="21">
        <v>8.4700000000000006</v>
      </c>
      <c r="J420" s="5">
        <f t="shared" si="20"/>
        <v>50155.274400000002</v>
      </c>
      <c r="K420" t="str">
        <f>IF(Tabla1[[#This Row],[Venta Total (Q)]] = 0, "Sin ventas", "Con ventas")</f>
        <v>Con ventas</v>
      </c>
      <c r="L420" s="20">
        <f t="shared" si="18"/>
        <v>345.42199999999997</v>
      </c>
      <c r="M420" s="20">
        <f t="shared" si="19"/>
        <v>4145.0639999999994</v>
      </c>
      <c r="N420" s="20">
        <f>Tabla1[[#This Row],[Venta Total (USD)]] - Tabla1[[#This Row],[Costo Total (USD)]]</f>
        <v>1776.4560000000001</v>
      </c>
    </row>
    <row r="421" spans="1:14" x14ac:dyDescent="0.25">
      <c r="A421" t="s">
        <v>35</v>
      </c>
      <c r="B421" t="s">
        <v>28</v>
      </c>
      <c r="C421" t="s">
        <v>29</v>
      </c>
      <c r="D421">
        <v>2025</v>
      </c>
      <c r="E421">
        <v>9</v>
      </c>
      <c r="F421">
        <v>20</v>
      </c>
      <c r="G421" s="20">
        <v>255.07</v>
      </c>
      <c r="H421" s="20">
        <f>Tabla1[[#This Row],[Cantidad Vendida]]*Tabla1[[#This Row],[Precio Unitario (USD)]]</f>
        <v>5101.3999999999996</v>
      </c>
      <c r="I421" s="21">
        <v>8.25</v>
      </c>
      <c r="J421" s="5">
        <f t="shared" si="20"/>
        <v>42086.549999999996</v>
      </c>
      <c r="K421" t="str">
        <f>IF(Tabla1[[#This Row],[Venta Total (Q)]] = 0, "Sin ventas", "Con ventas")</f>
        <v>Con ventas</v>
      </c>
      <c r="L421" s="20">
        <f t="shared" si="18"/>
        <v>178.54899999999998</v>
      </c>
      <c r="M421" s="20">
        <f t="shared" si="19"/>
        <v>3570.9799999999996</v>
      </c>
      <c r="N421" s="20">
        <f>Tabla1[[#This Row],[Venta Total (USD)]] - Tabla1[[#This Row],[Costo Total (USD)]]</f>
        <v>1530.42</v>
      </c>
    </row>
    <row r="422" spans="1:14" x14ac:dyDescent="0.25">
      <c r="A422" t="s">
        <v>10</v>
      </c>
      <c r="B422" t="s">
        <v>11</v>
      </c>
      <c r="C422" t="s">
        <v>37</v>
      </c>
      <c r="D422">
        <v>2024</v>
      </c>
      <c r="E422">
        <v>12</v>
      </c>
      <c r="F422">
        <v>7</v>
      </c>
      <c r="G422" s="20">
        <v>189.18</v>
      </c>
      <c r="H422" s="20">
        <f>Tabla1[[#This Row],[Cantidad Vendida]]*Tabla1[[#This Row],[Precio Unitario (USD)]]</f>
        <v>1324.26</v>
      </c>
      <c r="I422" s="21">
        <v>7.86</v>
      </c>
      <c r="J422" s="5">
        <f t="shared" si="20"/>
        <v>10408.6836</v>
      </c>
      <c r="K422" t="str">
        <f>IF(Tabla1[[#This Row],[Venta Total (Q)]] = 0, "Sin ventas", "Con ventas")</f>
        <v>Con ventas</v>
      </c>
      <c r="L422" s="20">
        <f t="shared" si="18"/>
        <v>132.42599999999999</v>
      </c>
      <c r="M422" s="20">
        <f t="shared" si="19"/>
        <v>926.98199999999997</v>
      </c>
      <c r="N422" s="20">
        <f>Tabla1[[#This Row],[Venta Total (USD)]] - Tabla1[[#This Row],[Costo Total (USD)]]</f>
        <v>397.27800000000002</v>
      </c>
    </row>
    <row r="423" spans="1:14" x14ac:dyDescent="0.25">
      <c r="A423" t="s">
        <v>10</v>
      </c>
      <c r="B423" t="s">
        <v>13</v>
      </c>
      <c r="C423" t="s">
        <v>36</v>
      </c>
      <c r="D423">
        <v>2022</v>
      </c>
      <c r="E423">
        <v>7</v>
      </c>
      <c r="F423">
        <v>14</v>
      </c>
      <c r="G423" s="20">
        <v>300.2</v>
      </c>
      <c r="H423" s="20">
        <f>Tabla1[[#This Row],[Cantidad Vendida]]*Tabla1[[#This Row],[Precio Unitario (USD)]]</f>
        <v>4202.8</v>
      </c>
      <c r="I423" s="21">
        <v>8.36</v>
      </c>
      <c r="J423" s="5">
        <f t="shared" si="20"/>
        <v>35135.407999999996</v>
      </c>
      <c r="K423" t="str">
        <f>IF(Tabla1[[#This Row],[Venta Total (Q)]] = 0, "Sin ventas", "Con ventas")</f>
        <v>Con ventas</v>
      </c>
      <c r="L423" s="20">
        <f t="shared" si="18"/>
        <v>210.14</v>
      </c>
      <c r="M423" s="20">
        <f t="shared" si="19"/>
        <v>2941.96</v>
      </c>
      <c r="N423" s="20">
        <f>Tabla1[[#This Row],[Venta Total (USD)]] - Tabla1[[#This Row],[Costo Total (USD)]]</f>
        <v>1260.8400000000001</v>
      </c>
    </row>
    <row r="424" spans="1:14" x14ac:dyDescent="0.25">
      <c r="A424" t="s">
        <v>20</v>
      </c>
      <c r="B424" t="s">
        <v>11</v>
      </c>
      <c r="C424" t="s">
        <v>23</v>
      </c>
      <c r="D424">
        <v>2022</v>
      </c>
      <c r="E424">
        <v>7</v>
      </c>
      <c r="F424">
        <v>20</v>
      </c>
      <c r="G424" s="20">
        <v>131.88999999999999</v>
      </c>
      <c r="H424" s="20">
        <f>Tabla1[[#This Row],[Cantidad Vendida]]*Tabla1[[#This Row],[Precio Unitario (USD)]]</f>
        <v>2637.7999999999997</v>
      </c>
      <c r="I424" s="21">
        <v>8.0299999999999994</v>
      </c>
      <c r="J424" s="5">
        <f t="shared" si="20"/>
        <v>21181.533999999996</v>
      </c>
      <c r="K424" t="str">
        <f>IF(Tabla1[[#This Row],[Venta Total (Q)]] = 0, "Sin ventas", "Con ventas")</f>
        <v>Con ventas</v>
      </c>
      <c r="L424" s="20">
        <f t="shared" si="18"/>
        <v>92.322999999999979</v>
      </c>
      <c r="M424" s="20">
        <f t="shared" si="19"/>
        <v>1846.4599999999996</v>
      </c>
      <c r="N424" s="20">
        <f>Tabla1[[#This Row],[Venta Total (USD)]] - Tabla1[[#This Row],[Costo Total (USD)]]</f>
        <v>791.34000000000015</v>
      </c>
    </row>
    <row r="425" spans="1:14" x14ac:dyDescent="0.25">
      <c r="A425" t="s">
        <v>10</v>
      </c>
      <c r="B425" t="s">
        <v>28</v>
      </c>
      <c r="C425" t="s">
        <v>38</v>
      </c>
      <c r="D425">
        <v>2025</v>
      </c>
      <c r="E425">
        <v>2</v>
      </c>
      <c r="F425">
        <v>10</v>
      </c>
      <c r="G425" s="20">
        <v>175.39</v>
      </c>
      <c r="H425" s="20">
        <f>Tabla1[[#This Row],[Cantidad Vendida]]*Tabla1[[#This Row],[Precio Unitario (USD)]]</f>
        <v>1753.8999999999999</v>
      </c>
      <c r="I425" s="21">
        <v>8.09</v>
      </c>
      <c r="J425" s="5">
        <f t="shared" si="20"/>
        <v>14189.050999999999</v>
      </c>
      <c r="K425" t="str">
        <f>IF(Tabla1[[#This Row],[Venta Total (Q)]] = 0, "Sin ventas", "Con ventas")</f>
        <v>Con ventas</v>
      </c>
      <c r="L425" s="20">
        <f t="shared" si="18"/>
        <v>122.77299999999998</v>
      </c>
      <c r="M425" s="20">
        <f t="shared" si="19"/>
        <v>1227.7299999999998</v>
      </c>
      <c r="N425" s="20">
        <f>Tabla1[[#This Row],[Venta Total (USD)]] - Tabla1[[#This Row],[Costo Total (USD)]]</f>
        <v>526.17000000000007</v>
      </c>
    </row>
    <row r="426" spans="1:14" x14ac:dyDescent="0.25">
      <c r="A426" t="s">
        <v>10</v>
      </c>
      <c r="B426" t="s">
        <v>28</v>
      </c>
      <c r="C426" t="s">
        <v>39</v>
      </c>
      <c r="D426">
        <v>2025</v>
      </c>
      <c r="E426">
        <v>5</v>
      </c>
      <c r="F426">
        <v>4</v>
      </c>
      <c r="G426" s="20">
        <v>145.57</v>
      </c>
      <c r="H426" s="20">
        <f>Tabla1[[#This Row],[Cantidad Vendida]]*Tabla1[[#This Row],[Precio Unitario (USD)]]</f>
        <v>582.28</v>
      </c>
      <c r="I426" s="21">
        <v>8.09</v>
      </c>
      <c r="J426" s="5">
        <f t="shared" si="20"/>
        <v>4710.6451999999999</v>
      </c>
      <c r="K426" t="str">
        <f>IF(Tabla1[[#This Row],[Venta Total (Q)]] = 0, "Sin ventas", "Con ventas")</f>
        <v>Con ventas</v>
      </c>
      <c r="L426" s="20">
        <f t="shared" si="18"/>
        <v>101.89899999999999</v>
      </c>
      <c r="M426" s="20">
        <f t="shared" si="19"/>
        <v>407.59599999999995</v>
      </c>
      <c r="N426" s="20">
        <f>Tabla1[[#This Row],[Venta Total (USD)]] - Tabla1[[#This Row],[Costo Total (USD)]]</f>
        <v>174.68400000000003</v>
      </c>
    </row>
    <row r="427" spans="1:14" x14ac:dyDescent="0.25">
      <c r="A427" t="s">
        <v>10</v>
      </c>
      <c r="B427" t="s">
        <v>21</v>
      </c>
      <c r="C427" t="s">
        <v>24</v>
      </c>
      <c r="D427">
        <v>2023</v>
      </c>
      <c r="E427">
        <v>10</v>
      </c>
      <c r="F427">
        <v>20</v>
      </c>
      <c r="G427" s="20">
        <v>448.65</v>
      </c>
      <c r="H427" s="20">
        <f>Tabla1[[#This Row],[Cantidad Vendida]]*Tabla1[[#This Row],[Precio Unitario (USD)]]</f>
        <v>8973</v>
      </c>
      <c r="I427" s="21">
        <v>8.02</v>
      </c>
      <c r="J427" s="5">
        <f t="shared" si="20"/>
        <v>71963.459999999992</v>
      </c>
      <c r="K427" t="str">
        <f>IF(Tabla1[[#This Row],[Venta Total (Q)]] = 0, "Sin ventas", "Con ventas")</f>
        <v>Con ventas</v>
      </c>
      <c r="L427" s="20">
        <f t="shared" si="18"/>
        <v>314.05499999999995</v>
      </c>
      <c r="M427" s="20">
        <f t="shared" si="19"/>
        <v>6281.0999999999985</v>
      </c>
      <c r="N427" s="20">
        <f>Tabla1[[#This Row],[Venta Total (USD)]] - Tabla1[[#This Row],[Costo Total (USD)]]</f>
        <v>2691.9000000000015</v>
      </c>
    </row>
    <row r="428" spans="1:14" x14ac:dyDescent="0.25">
      <c r="A428" t="s">
        <v>20</v>
      </c>
      <c r="B428" t="s">
        <v>13</v>
      </c>
      <c r="C428" t="s">
        <v>36</v>
      </c>
      <c r="D428">
        <v>2024</v>
      </c>
      <c r="E428">
        <v>2</v>
      </c>
      <c r="F428">
        <v>4</v>
      </c>
      <c r="G428" s="20">
        <v>463.02</v>
      </c>
      <c r="H428" s="20">
        <f>Tabla1[[#This Row],[Cantidad Vendida]]*Tabla1[[#This Row],[Precio Unitario (USD)]]</f>
        <v>1852.08</v>
      </c>
      <c r="I428" s="21">
        <v>8.08</v>
      </c>
      <c r="J428" s="5">
        <f t="shared" si="20"/>
        <v>14964.806399999999</v>
      </c>
      <c r="K428" t="str">
        <f>IF(Tabla1[[#This Row],[Venta Total (Q)]] = 0, "Sin ventas", "Con ventas")</f>
        <v>Con ventas</v>
      </c>
      <c r="L428" s="20">
        <f t="shared" si="18"/>
        <v>324.11399999999998</v>
      </c>
      <c r="M428" s="20">
        <f t="shared" si="19"/>
        <v>1296.4559999999999</v>
      </c>
      <c r="N428" s="20">
        <f>Tabla1[[#This Row],[Venta Total (USD)]] - Tabla1[[#This Row],[Costo Total (USD)]]</f>
        <v>555.62400000000002</v>
      </c>
    </row>
    <row r="429" spans="1:14" x14ac:dyDescent="0.25">
      <c r="A429" t="s">
        <v>10</v>
      </c>
      <c r="B429" t="s">
        <v>21</v>
      </c>
      <c r="C429" t="s">
        <v>32</v>
      </c>
      <c r="D429">
        <v>2025</v>
      </c>
      <c r="E429">
        <v>12</v>
      </c>
      <c r="F429">
        <v>8</v>
      </c>
      <c r="G429" s="20">
        <v>162.03</v>
      </c>
      <c r="H429" s="20">
        <f>Tabla1[[#This Row],[Cantidad Vendida]]*Tabla1[[#This Row],[Precio Unitario (USD)]]</f>
        <v>1296.24</v>
      </c>
      <c r="I429" s="21">
        <v>7.74</v>
      </c>
      <c r="J429" s="5">
        <f t="shared" si="20"/>
        <v>10032.8976</v>
      </c>
      <c r="K429" t="str">
        <f>IF(Tabla1[[#This Row],[Venta Total (Q)]] = 0, "Sin ventas", "Con ventas")</f>
        <v>Con ventas</v>
      </c>
      <c r="L429" s="20">
        <f t="shared" si="18"/>
        <v>113.42099999999999</v>
      </c>
      <c r="M429" s="20">
        <f t="shared" si="19"/>
        <v>907.36799999999994</v>
      </c>
      <c r="N429" s="20">
        <f>Tabla1[[#This Row],[Venta Total (USD)]] - Tabla1[[#This Row],[Costo Total (USD)]]</f>
        <v>388.87200000000007</v>
      </c>
    </row>
    <row r="430" spans="1:14" x14ac:dyDescent="0.25">
      <c r="A430" t="s">
        <v>20</v>
      </c>
      <c r="B430" t="s">
        <v>17</v>
      </c>
      <c r="C430" t="s">
        <v>18</v>
      </c>
      <c r="D430">
        <v>2024</v>
      </c>
      <c r="E430">
        <v>9</v>
      </c>
      <c r="F430">
        <v>1</v>
      </c>
      <c r="G430" s="20">
        <v>58.6</v>
      </c>
      <c r="H430" s="20">
        <f>Tabla1[[#This Row],[Cantidad Vendida]]*Tabla1[[#This Row],[Precio Unitario (USD)]]</f>
        <v>58.6</v>
      </c>
      <c r="I430" s="21">
        <v>8.09</v>
      </c>
      <c r="J430" s="5">
        <f t="shared" si="20"/>
        <v>474.07400000000001</v>
      </c>
      <c r="K430" t="str">
        <f>IF(Tabla1[[#This Row],[Venta Total (Q)]] = 0, "Sin ventas", "Con ventas")</f>
        <v>Con ventas</v>
      </c>
      <c r="L430" s="20">
        <f t="shared" si="18"/>
        <v>41.019999999999996</v>
      </c>
      <c r="M430" s="20">
        <f t="shared" si="19"/>
        <v>41.019999999999996</v>
      </c>
      <c r="N430" s="20">
        <f>Tabla1[[#This Row],[Venta Total (USD)]] - Tabla1[[#This Row],[Costo Total (USD)]]</f>
        <v>17.580000000000005</v>
      </c>
    </row>
    <row r="431" spans="1:14" x14ac:dyDescent="0.25">
      <c r="A431" t="s">
        <v>15</v>
      </c>
      <c r="B431" t="s">
        <v>11</v>
      </c>
      <c r="C431" t="s">
        <v>37</v>
      </c>
      <c r="D431">
        <v>2022</v>
      </c>
      <c r="E431">
        <v>12</v>
      </c>
      <c r="F431">
        <v>6</v>
      </c>
      <c r="G431" s="20">
        <v>416.53</v>
      </c>
      <c r="H431" s="20">
        <f>Tabla1[[#This Row],[Cantidad Vendida]]*Tabla1[[#This Row],[Precio Unitario (USD)]]</f>
        <v>2499.1799999999998</v>
      </c>
      <c r="I431" s="21">
        <v>8.07</v>
      </c>
      <c r="J431" s="5">
        <f t="shared" si="20"/>
        <v>20168.382600000001</v>
      </c>
      <c r="K431" t="str">
        <f>IF(Tabla1[[#This Row],[Venta Total (Q)]] = 0, "Sin ventas", "Con ventas")</f>
        <v>Con ventas</v>
      </c>
      <c r="L431" s="20">
        <f t="shared" si="18"/>
        <v>291.57099999999997</v>
      </c>
      <c r="M431" s="20">
        <f t="shared" si="19"/>
        <v>1749.4259999999999</v>
      </c>
      <c r="N431" s="20">
        <f>Tabla1[[#This Row],[Venta Total (USD)]] - Tabla1[[#This Row],[Costo Total (USD)]]</f>
        <v>749.75399999999991</v>
      </c>
    </row>
    <row r="432" spans="1:14" x14ac:dyDescent="0.25">
      <c r="A432" t="s">
        <v>16</v>
      </c>
      <c r="B432" t="s">
        <v>13</v>
      </c>
      <c r="C432" t="s">
        <v>30</v>
      </c>
      <c r="D432">
        <v>2022</v>
      </c>
      <c r="E432">
        <v>4</v>
      </c>
      <c r="F432">
        <v>12</v>
      </c>
      <c r="G432" s="20">
        <v>147.69999999999999</v>
      </c>
      <c r="H432" s="20">
        <f>Tabla1[[#This Row],[Cantidad Vendida]]*Tabla1[[#This Row],[Precio Unitario (USD)]]</f>
        <v>1772.3999999999999</v>
      </c>
      <c r="I432" s="21">
        <v>8.27</v>
      </c>
      <c r="J432" s="5">
        <f t="shared" si="20"/>
        <v>14657.747999999998</v>
      </c>
      <c r="K432" t="str">
        <f>IF(Tabla1[[#This Row],[Venta Total (Q)]] = 0, "Sin ventas", "Con ventas")</f>
        <v>Con ventas</v>
      </c>
      <c r="L432" s="20">
        <f t="shared" si="18"/>
        <v>103.38999999999999</v>
      </c>
      <c r="M432" s="20">
        <f t="shared" si="19"/>
        <v>1240.6799999999998</v>
      </c>
      <c r="N432" s="20">
        <f>Tabla1[[#This Row],[Venta Total (USD)]] - Tabla1[[#This Row],[Costo Total (USD)]]</f>
        <v>531.72</v>
      </c>
    </row>
    <row r="433" spans="1:14" x14ac:dyDescent="0.25">
      <c r="A433" t="s">
        <v>20</v>
      </c>
      <c r="B433" t="s">
        <v>11</v>
      </c>
      <c r="C433" t="s">
        <v>12</v>
      </c>
      <c r="D433">
        <v>2024</v>
      </c>
      <c r="E433">
        <v>3</v>
      </c>
      <c r="F433">
        <v>15</v>
      </c>
      <c r="G433" s="20">
        <v>89.61</v>
      </c>
      <c r="H433" s="20">
        <f>Tabla1[[#This Row],[Cantidad Vendida]]*Tabla1[[#This Row],[Precio Unitario (USD)]]</f>
        <v>1344.15</v>
      </c>
      <c r="I433" s="21">
        <v>7.95</v>
      </c>
      <c r="J433" s="5">
        <f t="shared" si="20"/>
        <v>10685.9925</v>
      </c>
      <c r="K433" t="str">
        <f>IF(Tabla1[[#This Row],[Venta Total (Q)]] = 0, "Sin ventas", "Con ventas")</f>
        <v>Con ventas</v>
      </c>
      <c r="L433" s="20">
        <f t="shared" si="18"/>
        <v>62.726999999999997</v>
      </c>
      <c r="M433" s="20">
        <f t="shared" si="19"/>
        <v>940.90499999999997</v>
      </c>
      <c r="N433" s="20">
        <f>Tabla1[[#This Row],[Venta Total (USD)]] - Tabla1[[#This Row],[Costo Total (USD)]]</f>
        <v>403.24500000000012</v>
      </c>
    </row>
    <row r="434" spans="1:14" x14ac:dyDescent="0.25">
      <c r="A434" t="s">
        <v>20</v>
      </c>
      <c r="B434" t="s">
        <v>17</v>
      </c>
      <c r="C434" t="s">
        <v>19</v>
      </c>
      <c r="D434">
        <v>2023</v>
      </c>
      <c r="E434">
        <v>3</v>
      </c>
      <c r="F434">
        <v>13</v>
      </c>
      <c r="G434" s="20">
        <v>399.88</v>
      </c>
      <c r="H434" s="20">
        <f>Tabla1[[#This Row],[Cantidad Vendida]]*Tabla1[[#This Row],[Precio Unitario (USD)]]</f>
        <v>5198.4399999999996</v>
      </c>
      <c r="I434" s="21">
        <v>8.49</v>
      </c>
      <c r="J434" s="5">
        <f t="shared" si="20"/>
        <v>44134.755599999997</v>
      </c>
      <c r="K434" t="str">
        <f>IF(Tabla1[[#This Row],[Venta Total (Q)]] = 0, "Sin ventas", "Con ventas")</f>
        <v>Con ventas</v>
      </c>
      <c r="L434" s="20">
        <f t="shared" si="18"/>
        <v>279.916</v>
      </c>
      <c r="M434" s="20">
        <f t="shared" si="19"/>
        <v>3638.9079999999999</v>
      </c>
      <c r="N434" s="20">
        <f>Tabla1[[#This Row],[Venta Total (USD)]] - Tabla1[[#This Row],[Costo Total (USD)]]</f>
        <v>1559.5319999999997</v>
      </c>
    </row>
    <row r="435" spans="1:14" x14ac:dyDescent="0.25">
      <c r="A435" t="s">
        <v>16</v>
      </c>
      <c r="B435" t="s">
        <v>28</v>
      </c>
      <c r="C435" t="s">
        <v>39</v>
      </c>
      <c r="D435">
        <v>2023</v>
      </c>
      <c r="E435">
        <v>5</v>
      </c>
      <c r="F435">
        <v>12</v>
      </c>
      <c r="G435" s="20">
        <v>96.41</v>
      </c>
      <c r="H435" s="20">
        <f>Tabla1[[#This Row],[Cantidad Vendida]]*Tabla1[[#This Row],[Precio Unitario (USD)]]</f>
        <v>1156.92</v>
      </c>
      <c r="I435" s="21">
        <v>7.52</v>
      </c>
      <c r="J435" s="5">
        <f t="shared" si="20"/>
        <v>8700.0383999999995</v>
      </c>
      <c r="K435" t="str">
        <f>IF(Tabla1[[#This Row],[Venta Total (Q)]] = 0, "Sin ventas", "Con ventas")</f>
        <v>Con ventas</v>
      </c>
      <c r="L435" s="20">
        <f t="shared" si="18"/>
        <v>67.486999999999995</v>
      </c>
      <c r="M435" s="20">
        <f t="shared" si="19"/>
        <v>809.84399999999994</v>
      </c>
      <c r="N435" s="20">
        <f>Tabla1[[#This Row],[Venta Total (USD)]] - Tabla1[[#This Row],[Costo Total (USD)]]</f>
        <v>347.07600000000014</v>
      </c>
    </row>
    <row r="436" spans="1:14" x14ac:dyDescent="0.25">
      <c r="A436" t="s">
        <v>10</v>
      </c>
      <c r="B436" t="s">
        <v>21</v>
      </c>
      <c r="C436" t="s">
        <v>32</v>
      </c>
      <c r="D436">
        <v>2022</v>
      </c>
      <c r="E436">
        <v>9</v>
      </c>
      <c r="F436">
        <v>17</v>
      </c>
      <c r="G436" s="20">
        <v>72.53</v>
      </c>
      <c r="H436" s="20">
        <f>Tabla1[[#This Row],[Cantidad Vendida]]*Tabla1[[#This Row],[Precio Unitario (USD)]]</f>
        <v>1233.01</v>
      </c>
      <c r="I436" s="21">
        <v>7.53</v>
      </c>
      <c r="J436" s="5">
        <f t="shared" si="20"/>
        <v>9284.5653000000002</v>
      </c>
      <c r="K436" t="str">
        <f>IF(Tabla1[[#This Row],[Venta Total (Q)]] = 0, "Sin ventas", "Con ventas")</f>
        <v>Con ventas</v>
      </c>
      <c r="L436" s="20">
        <f t="shared" si="18"/>
        <v>50.771000000000001</v>
      </c>
      <c r="M436" s="20">
        <f t="shared" si="19"/>
        <v>863.10699999999997</v>
      </c>
      <c r="N436" s="20">
        <f>Tabla1[[#This Row],[Venta Total (USD)]] - Tabla1[[#This Row],[Costo Total (USD)]]</f>
        <v>369.90300000000002</v>
      </c>
    </row>
    <row r="437" spans="1:14" x14ac:dyDescent="0.25">
      <c r="A437" t="s">
        <v>10</v>
      </c>
      <c r="B437" t="s">
        <v>17</v>
      </c>
      <c r="C437" t="s">
        <v>19</v>
      </c>
      <c r="D437">
        <v>2022</v>
      </c>
      <c r="E437">
        <v>5</v>
      </c>
      <c r="F437">
        <v>13</v>
      </c>
      <c r="G437" s="20">
        <v>302.14</v>
      </c>
      <c r="H437" s="20">
        <f>Tabla1[[#This Row],[Cantidad Vendida]]*Tabla1[[#This Row],[Precio Unitario (USD)]]</f>
        <v>3927.8199999999997</v>
      </c>
      <c r="I437" s="21">
        <v>8.16</v>
      </c>
      <c r="J437" s="5">
        <f t="shared" si="20"/>
        <v>32051.011199999997</v>
      </c>
      <c r="K437" t="str">
        <f>IF(Tabla1[[#This Row],[Venta Total (Q)]] = 0, "Sin ventas", "Con ventas")</f>
        <v>Con ventas</v>
      </c>
      <c r="L437" s="20">
        <f t="shared" si="18"/>
        <v>211.49799999999999</v>
      </c>
      <c r="M437" s="20">
        <f t="shared" si="19"/>
        <v>2749.4739999999997</v>
      </c>
      <c r="N437" s="20">
        <f>Tabla1[[#This Row],[Venta Total (USD)]] - Tabla1[[#This Row],[Costo Total (USD)]]</f>
        <v>1178.346</v>
      </c>
    </row>
    <row r="438" spans="1:14" x14ac:dyDescent="0.25">
      <c r="A438" t="s">
        <v>15</v>
      </c>
      <c r="B438" t="s">
        <v>17</v>
      </c>
      <c r="C438" t="s">
        <v>19</v>
      </c>
      <c r="D438">
        <v>2023</v>
      </c>
      <c r="E438">
        <v>7</v>
      </c>
      <c r="F438">
        <v>3</v>
      </c>
      <c r="G438" s="20">
        <v>470.73</v>
      </c>
      <c r="H438" s="20">
        <f>Tabla1[[#This Row],[Cantidad Vendida]]*Tabla1[[#This Row],[Precio Unitario (USD)]]</f>
        <v>1412.19</v>
      </c>
      <c r="I438" s="21">
        <v>8.4700000000000006</v>
      </c>
      <c r="J438" s="5">
        <f t="shared" si="20"/>
        <v>11961.249300000001</v>
      </c>
      <c r="K438" t="str">
        <f>IF(Tabla1[[#This Row],[Venta Total (Q)]] = 0, "Sin ventas", "Con ventas")</f>
        <v>Con ventas</v>
      </c>
      <c r="L438" s="20">
        <f t="shared" si="18"/>
        <v>329.51099999999997</v>
      </c>
      <c r="M438" s="20">
        <f t="shared" si="19"/>
        <v>988.5329999999999</v>
      </c>
      <c r="N438" s="20">
        <f>Tabla1[[#This Row],[Venta Total (USD)]] - Tabla1[[#This Row],[Costo Total (USD)]]</f>
        <v>423.65700000000015</v>
      </c>
    </row>
    <row r="439" spans="1:14" x14ac:dyDescent="0.25">
      <c r="A439" t="s">
        <v>15</v>
      </c>
      <c r="B439" t="s">
        <v>11</v>
      </c>
      <c r="C439" t="s">
        <v>12</v>
      </c>
      <c r="D439">
        <v>2022</v>
      </c>
      <c r="E439">
        <v>9</v>
      </c>
      <c r="F439">
        <v>13</v>
      </c>
      <c r="G439" s="20">
        <v>264.37</v>
      </c>
      <c r="H439" s="20">
        <f>Tabla1[[#This Row],[Cantidad Vendida]]*Tabla1[[#This Row],[Precio Unitario (USD)]]</f>
        <v>3436.81</v>
      </c>
      <c r="I439" s="21">
        <v>8.1</v>
      </c>
      <c r="J439" s="5">
        <f t="shared" si="20"/>
        <v>27838.161</v>
      </c>
      <c r="K439" t="str">
        <f>IF(Tabla1[[#This Row],[Venta Total (Q)]] = 0, "Sin ventas", "Con ventas")</f>
        <v>Con ventas</v>
      </c>
      <c r="L439" s="20">
        <f t="shared" si="18"/>
        <v>185.059</v>
      </c>
      <c r="M439" s="20">
        <f t="shared" si="19"/>
        <v>2405.7669999999998</v>
      </c>
      <c r="N439" s="20">
        <f>Tabla1[[#This Row],[Venta Total (USD)]] - Tabla1[[#This Row],[Costo Total (USD)]]</f>
        <v>1031.0430000000001</v>
      </c>
    </row>
    <row r="440" spans="1:14" x14ac:dyDescent="0.25">
      <c r="A440" t="s">
        <v>35</v>
      </c>
      <c r="B440" t="s">
        <v>11</v>
      </c>
      <c r="C440" t="s">
        <v>25</v>
      </c>
      <c r="D440">
        <v>2023</v>
      </c>
      <c r="E440">
        <v>11</v>
      </c>
      <c r="F440">
        <v>4</v>
      </c>
      <c r="G440" s="20">
        <v>227.99</v>
      </c>
      <c r="H440" s="20">
        <f>Tabla1[[#This Row],[Cantidad Vendida]]*Tabla1[[#This Row],[Precio Unitario (USD)]]</f>
        <v>911.96</v>
      </c>
      <c r="I440" s="21">
        <v>7.61</v>
      </c>
      <c r="J440" s="5">
        <f t="shared" si="20"/>
        <v>6940.0156000000006</v>
      </c>
      <c r="K440" t="str">
        <f>IF(Tabla1[[#This Row],[Venta Total (Q)]] = 0, "Sin ventas", "Con ventas")</f>
        <v>Con ventas</v>
      </c>
      <c r="L440" s="20">
        <f t="shared" si="18"/>
        <v>159.59299999999999</v>
      </c>
      <c r="M440" s="20">
        <f t="shared" si="19"/>
        <v>638.37199999999996</v>
      </c>
      <c r="N440" s="20">
        <f>Tabla1[[#This Row],[Venta Total (USD)]] - Tabla1[[#This Row],[Costo Total (USD)]]</f>
        <v>273.58800000000008</v>
      </c>
    </row>
    <row r="441" spans="1:14" x14ac:dyDescent="0.25">
      <c r="A441" t="s">
        <v>10</v>
      </c>
      <c r="B441" t="s">
        <v>21</v>
      </c>
      <c r="C441" t="s">
        <v>24</v>
      </c>
      <c r="D441">
        <v>2023</v>
      </c>
      <c r="E441">
        <v>5</v>
      </c>
      <c r="F441">
        <v>1</v>
      </c>
      <c r="G441" s="20">
        <v>290.22000000000003</v>
      </c>
      <c r="H441" s="20">
        <f>Tabla1[[#This Row],[Cantidad Vendida]]*Tabla1[[#This Row],[Precio Unitario (USD)]]</f>
        <v>290.22000000000003</v>
      </c>
      <c r="I441" s="21">
        <v>7.5</v>
      </c>
      <c r="J441" s="5">
        <f t="shared" si="20"/>
        <v>2176.65</v>
      </c>
      <c r="K441" t="str">
        <f>IF(Tabla1[[#This Row],[Venta Total (Q)]] = 0, "Sin ventas", "Con ventas")</f>
        <v>Con ventas</v>
      </c>
      <c r="L441" s="20">
        <f t="shared" si="18"/>
        <v>203.154</v>
      </c>
      <c r="M441" s="20">
        <f t="shared" si="19"/>
        <v>203.154</v>
      </c>
      <c r="N441" s="20">
        <f>Tabla1[[#This Row],[Venta Total (USD)]] - Tabla1[[#This Row],[Costo Total (USD)]]</f>
        <v>87.066000000000031</v>
      </c>
    </row>
    <row r="442" spans="1:14" x14ac:dyDescent="0.25">
      <c r="A442" t="s">
        <v>16</v>
      </c>
      <c r="B442" t="s">
        <v>13</v>
      </c>
      <c r="C442" t="s">
        <v>27</v>
      </c>
      <c r="D442">
        <v>2023</v>
      </c>
      <c r="E442">
        <v>11</v>
      </c>
      <c r="F442">
        <v>13</v>
      </c>
      <c r="G442" s="20">
        <v>284.32</v>
      </c>
      <c r="H442" s="20">
        <f>Tabla1[[#This Row],[Cantidad Vendida]]*Tabla1[[#This Row],[Precio Unitario (USD)]]</f>
        <v>3696.16</v>
      </c>
      <c r="I442" s="21">
        <v>7.85</v>
      </c>
      <c r="J442" s="5">
        <f t="shared" si="20"/>
        <v>29014.855999999996</v>
      </c>
      <c r="K442" t="str">
        <f>IF(Tabla1[[#This Row],[Venta Total (Q)]] = 0, "Sin ventas", "Con ventas")</f>
        <v>Con ventas</v>
      </c>
      <c r="L442" s="20">
        <f t="shared" si="18"/>
        <v>199.02399999999997</v>
      </c>
      <c r="M442" s="20">
        <f t="shared" si="19"/>
        <v>2587.3119999999994</v>
      </c>
      <c r="N442" s="20">
        <f>Tabla1[[#This Row],[Venta Total (USD)]] - Tabla1[[#This Row],[Costo Total (USD)]]</f>
        <v>1108.8480000000004</v>
      </c>
    </row>
    <row r="443" spans="1:14" x14ac:dyDescent="0.25">
      <c r="A443" t="s">
        <v>15</v>
      </c>
      <c r="B443" t="s">
        <v>11</v>
      </c>
      <c r="C443" t="s">
        <v>37</v>
      </c>
      <c r="D443">
        <v>2023</v>
      </c>
      <c r="E443">
        <v>7</v>
      </c>
      <c r="F443">
        <v>14</v>
      </c>
      <c r="G443" s="20">
        <v>74.45</v>
      </c>
      <c r="H443" s="20">
        <f>Tabla1[[#This Row],[Cantidad Vendida]]*Tabla1[[#This Row],[Precio Unitario (USD)]]</f>
        <v>1042.3</v>
      </c>
      <c r="I443" s="21">
        <v>8.15</v>
      </c>
      <c r="J443" s="5">
        <f t="shared" si="20"/>
        <v>8494.7450000000008</v>
      </c>
      <c r="K443" t="str">
        <f>IF(Tabla1[[#This Row],[Venta Total (Q)]] = 0, "Sin ventas", "Con ventas")</f>
        <v>Con ventas</v>
      </c>
      <c r="L443" s="20">
        <f t="shared" si="18"/>
        <v>52.115000000000002</v>
      </c>
      <c r="M443" s="20">
        <f t="shared" si="19"/>
        <v>729.61</v>
      </c>
      <c r="N443" s="20">
        <f>Tabla1[[#This Row],[Venta Total (USD)]] - Tabla1[[#This Row],[Costo Total (USD)]]</f>
        <v>312.68999999999994</v>
      </c>
    </row>
    <row r="444" spans="1:14" x14ac:dyDescent="0.25">
      <c r="A444" t="s">
        <v>10</v>
      </c>
      <c r="B444" t="s">
        <v>28</v>
      </c>
      <c r="C444" t="s">
        <v>39</v>
      </c>
      <c r="D444">
        <v>2022</v>
      </c>
      <c r="E444">
        <v>6</v>
      </c>
      <c r="F444">
        <v>16</v>
      </c>
      <c r="G444" s="20">
        <v>188.26</v>
      </c>
      <c r="H444" s="20">
        <f>Tabla1[[#This Row],[Cantidad Vendida]]*Tabla1[[#This Row],[Precio Unitario (USD)]]</f>
        <v>3012.16</v>
      </c>
      <c r="I444" s="21">
        <v>7.51</v>
      </c>
      <c r="J444" s="5">
        <f t="shared" si="20"/>
        <v>22621.321599999999</v>
      </c>
      <c r="K444" t="str">
        <f>IF(Tabla1[[#This Row],[Venta Total (Q)]] = 0, "Sin ventas", "Con ventas")</f>
        <v>Con ventas</v>
      </c>
      <c r="L444" s="20">
        <f t="shared" si="18"/>
        <v>131.78199999999998</v>
      </c>
      <c r="M444" s="20">
        <f t="shared" si="19"/>
        <v>2108.5119999999997</v>
      </c>
      <c r="N444" s="20">
        <f>Tabla1[[#This Row],[Venta Total (USD)]] - Tabla1[[#This Row],[Costo Total (USD)]]</f>
        <v>903.64800000000014</v>
      </c>
    </row>
    <row r="445" spans="1:14" x14ac:dyDescent="0.25">
      <c r="A445" t="s">
        <v>10</v>
      </c>
      <c r="B445" t="s">
        <v>13</v>
      </c>
      <c r="C445" t="s">
        <v>14</v>
      </c>
      <c r="D445">
        <v>2024</v>
      </c>
      <c r="E445">
        <v>8</v>
      </c>
      <c r="F445">
        <v>1</v>
      </c>
      <c r="G445" s="20">
        <v>257.32</v>
      </c>
      <c r="H445" s="20">
        <f>Tabla1[[#This Row],[Cantidad Vendida]]*Tabla1[[#This Row],[Precio Unitario (USD)]]</f>
        <v>257.32</v>
      </c>
      <c r="I445" s="21">
        <v>8.1</v>
      </c>
      <c r="J445" s="5">
        <f t="shared" si="20"/>
        <v>2084.2919999999999</v>
      </c>
      <c r="K445" t="str">
        <f>IF(Tabla1[[#This Row],[Venta Total (Q)]] = 0, "Sin ventas", "Con ventas")</f>
        <v>Con ventas</v>
      </c>
      <c r="L445" s="20">
        <f t="shared" si="18"/>
        <v>180.124</v>
      </c>
      <c r="M445" s="20">
        <f t="shared" si="19"/>
        <v>180.124</v>
      </c>
      <c r="N445" s="20">
        <f>Tabla1[[#This Row],[Venta Total (USD)]] - Tabla1[[#This Row],[Costo Total (USD)]]</f>
        <v>77.195999999999998</v>
      </c>
    </row>
    <row r="446" spans="1:14" x14ac:dyDescent="0.25">
      <c r="A446" t="s">
        <v>35</v>
      </c>
      <c r="B446" t="s">
        <v>17</v>
      </c>
      <c r="C446" t="s">
        <v>33</v>
      </c>
      <c r="D446">
        <v>2023</v>
      </c>
      <c r="E446">
        <v>2</v>
      </c>
      <c r="F446">
        <v>1</v>
      </c>
      <c r="G446" s="20">
        <v>466.93</v>
      </c>
      <c r="H446" s="20">
        <f>Tabla1[[#This Row],[Cantidad Vendida]]*Tabla1[[#This Row],[Precio Unitario (USD)]]</f>
        <v>466.93</v>
      </c>
      <c r="I446" s="21">
        <v>7.93</v>
      </c>
      <c r="J446" s="5">
        <f t="shared" si="20"/>
        <v>3702.7548999999999</v>
      </c>
      <c r="K446" t="str">
        <f>IF(Tabla1[[#This Row],[Venta Total (Q)]] = 0, "Sin ventas", "Con ventas")</f>
        <v>Con ventas</v>
      </c>
      <c r="L446" s="20">
        <f t="shared" si="18"/>
        <v>326.851</v>
      </c>
      <c r="M446" s="20">
        <f t="shared" si="19"/>
        <v>326.851</v>
      </c>
      <c r="N446" s="20">
        <f>Tabla1[[#This Row],[Venta Total (USD)]] - Tabla1[[#This Row],[Costo Total (USD)]]</f>
        <v>140.07900000000001</v>
      </c>
    </row>
    <row r="447" spans="1:14" x14ac:dyDescent="0.25">
      <c r="A447" t="s">
        <v>31</v>
      </c>
      <c r="B447" t="s">
        <v>21</v>
      </c>
      <c r="C447" t="s">
        <v>22</v>
      </c>
      <c r="D447">
        <v>2022</v>
      </c>
      <c r="E447">
        <v>2</v>
      </c>
      <c r="F447">
        <v>10</v>
      </c>
      <c r="G447" s="20">
        <v>419.22</v>
      </c>
      <c r="H447" s="20">
        <f>Tabla1[[#This Row],[Cantidad Vendida]]*Tabla1[[#This Row],[Precio Unitario (USD)]]</f>
        <v>4192.2000000000007</v>
      </c>
      <c r="I447" s="21">
        <v>8.06</v>
      </c>
      <c r="J447" s="5">
        <f t="shared" si="20"/>
        <v>33789.132000000005</v>
      </c>
      <c r="K447" t="str">
        <f>IF(Tabla1[[#This Row],[Venta Total (Q)]] = 0, "Sin ventas", "Con ventas")</f>
        <v>Con ventas</v>
      </c>
      <c r="L447" s="20">
        <f t="shared" si="18"/>
        <v>293.45400000000001</v>
      </c>
      <c r="M447" s="20">
        <f t="shared" si="19"/>
        <v>2934.54</v>
      </c>
      <c r="N447" s="20">
        <f>Tabla1[[#This Row],[Venta Total (USD)]] - Tabla1[[#This Row],[Costo Total (USD)]]</f>
        <v>1257.6600000000008</v>
      </c>
    </row>
    <row r="448" spans="1:14" x14ac:dyDescent="0.25">
      <c r="A448" t="s">
        <v>31</v>
      </c>
      <c r="B448" t="s">
        <v>17</v>
      </c>
      <c r="C448" t="s">
        <v>18</v>
      </c>
      <c r="D448">
        <v>2023</v>
      </c>
      <c r="E448">
        <v>4</v>
      </c>
      <c r="F448">
        <v>4</v>
      </c>
      <c r="G448" s="20">
        <v>236.75</v>
      </c>
      <c r="H448" s="20">
        <f>Tabla1[[#This Row],[Cantidad Vendida]]*Tabla1[[#This Row],[Precio Unitario (USD)]]</f>
        <v>947</v>
      </c>
      <c r="I448" s="21">
        <v>8.31</v>
      </c>
      <c r="J448" s="5">
        <f t="shared" si="20"/>
        <v>7869.5700000000006</v>
      </c>
      <c r="K448" t="str">
        <f>IF(Tabla1[[#This Row],[Venta Total (Q)]] = 0, "Sin ventas", "Con ventas")</f>
        <v>Con ventas</v>
      </c>
      <c r="L448" s="20">
        <f t="shared" si="18"/>
        <v>165.72499999999999</v>
      </c>
      <c r="M448" s="20">
        <f t="shared" si="19"/>
        <v>662.9</v>
      </c>
      <c r="N448" s="20">
        <f>Tabla1[[#This Row],[Venta Total (USD)]] - Tabla1[[#This Row],[Costo Total (USD)]]</f>
        <v>284.10000000000002</v>
      </c>
    </row>
    <row r="449" spans="1:14" x14ac:dyDescent="0.25">
      <c r="A449" t="s">
        <v>10</v>
      </c>
      <c r="B449" t="s">
        <v>28</v>
      </c>
      <c r="C449" t="s">
        <v>29</v>
      </c>
      <c r="D449">
        <v>2022</v>
      </c>
      <c r="E449">
        <v>2</v>
      </c>
      <c r="F449">
        <v>3</v>
      </c>
      <c r="G449" s="20">
        <v>89.46</v>
      </c>
      <c r="H449" s="20">
        <f>Tabla1[[#This Row],[Cantidad Vendida]]*Tabla1[[#This Row],[Precio Unitario (USD)]]</f>
        <v>268.38</v>
      </c>
      <c r="I449" s="21">
        <v>7.6</v>
      </c>
      <c r="J449" s="5">
        <f t="shared" si="20"/>
        <v>2039.6879999999999</v>
      </c>
      <c r="K449" t="str">
        <f>IF(Tabla1[[#This Row],[Venta Total (Q)]] = 0, "Sin ventas", "Con ventas")</f>
        <v>Con ventas</v>
      </c>
      <c r="L449" s="20">
        <f t="shared" si="18"/>
        <v>62.621999999999993</v>
      </c>
      <c r="M449" s="20">
        <f t="shared" si="19"/>
        <v>187.86599999999999</v>
      </c>
      <c r="N449" s="20">
        <f>Tabla1[[#This Row],[Venta Total (USD)]] - Tabla1[[#This Row],[Costo Total (USD)]]</f>
        <v>80.51400000000001</v>
      </c>
    </row>
    <row r="450" spans="1:14" x14ac:dyDescent="0.25">
      <c r="A450" t="s">
        <v>35</v>
      </c>
      <c r="B450" t="s">
        <v>28</v>
      </c>
      <c r="C450" t="s">
        <v>29</v>
      </c>
      <c r="D450">
        <v>2024</v>
      </c>
      <c r="E450">
        <v>8</v>
      </c>
      <c r="F450">
        <v>6</v>
      </c>
      <c r="G450" s="20">
        <v>132.49</v>
      </c>
      <c r="H450" s="20">
        <f>Tabla1[[#This Row],[Cantidad Vendida]]*Tabla1[[#This Row],[Precio Unitario (USD)]]</f>
        <v>794.94</v>
      </c>
      <c r="I450" s="21">
        <v>8.36</v>
      </c>
      <c r="J450" s="5">
        <f t="shared" si="20"/>
        <v>6645.6984000000002</v>
      </c>
      <c r="K450" t="str">
        <f>IF(Tabla1[[#This Row],[Venta Total (Q)]] = 0, "Sin ventas", "Con ventas")</f>
        <v>Con ventas</v>
      </c>
      <c r="L450" s="20">
        <f t="shared" ref="L450:L501" si="21">IF(G450&gt;0, G450*0.7, "")</f>
        <v>92.742999999999995</v>
      </c>
      <c r="M450" s="20">
        <f t="shared" ref="M450:M501" si="22">F450 * L450</f>
        <v>556.45799999999997</v>
      </c>
      <c r="N450" s="20">
        <f>Tabla1[[#This Row],[Venta Total (USD)]] - Tabla1[[#This Row],[Costo Total (USD)]]</f>
        <v>238.48200000000008</v>
      </c>
    </row>
    <row r="451" spans="1:14" x14ac:dyDescent="0.25">
      <c r="A451" t="s">
        <v>31</v>
      </c>
      <c r="B451" t="s">
        <v>28</v>
      </c>
      <c r="C451" t="s">
        <v>39</v>
      </c>
      <c r="D451">
        <v>2024</v>
      </c>
      <c r="E451">
        <v>3</v>
      </c>
      <c r="F451">
        <v>9</v>
      </c>
      <c r="G451" s="20">
        <v>315.86</v>
      </c>
      <c r="H451" s="20">
        <f>Tabla1[[#This Row],[Cantidad Vendida]]*Tabla1[[#This Row],[Precio Unitario (USD)]]</f>
        <v>2842.7400000000002</v>
      </c>
      <c r="I451" s="21">
        <v>8.3699999999999992</v>
      </c>
      <c r="J451" s="5">
        <f t="shared" ref="J451:J501" si="23">H451 * I451</f>
        <v>23793.733799999998</v>
      </c>
      <c r="K451" t="str">
        <f>IF(Tabla1[[#This Row],[Venta Total (Q)]] = 0, "Sin ventas", "Con ventas")</f>
        <v>Con ventas</v>
      </c>
      <c r="L451" s="20">
        <f t="shared" si="21"/>
        <v>221.102</v>
      </c>
      <c r="M451" s="20">
        <f t="shared" si="22"/>
        <v>1989.9180000000001</v>
      </c>
      <c r="N451" s="20">
        <f>Tabla1[[#This Row],[Venta Total (USD)]] - Tabla1[[#This Row],[Costo Total (USD)]]</f>
        <v>852.82200000000012</v>
      </c>
    </row>
    <row r="452" spans="1:14" x14ac:dyDescent="0.25">
      <c r="A452" t="s">
        <v>10</v>
      </c>
      <c r="B452" t="s">
        <v>21</v>
      </c>
      <c r="C452" t="s">
        <v>22</v>
      </c>
      <c r="D452">
        <v>2023</v>
      </c>
      <c r="E452">
        <v>11</v>
      </c>
      <c r="F452">
        <v>8</v>
      </c>
      <c r="G452" s="20">
        <v>101.98</v>
      </c>
      <c r="H452" s="20">
        <f>Tabla1[[#This Row],[Cantidad Vendida]]*Tabla1[[#This Row],[Precio Unitario (USD)]]</f>
        <v>815.84</v>
      </c>
      <c r="I452" s="21">
        <v>7.92</v>
      </c>
      <c r="J452" s="5">
        <f t="shared" si="23"/>
        <v>6461.4528</v>
      </c>
      <c r="K452" t="str">
        <f>IF(Tabla1[[#This Row],[Venta Total (Q)]] = 0, "Sin ventas", "Con ventas")</f>
        <v>Con ventas</v>
      </c>
      <c r="L452" s="20">
        <f t="shared" si="21"/>
        <v>71.385999999999996</v>
      </c>
      <c r="M452" s="20">
        <f t="shared" si="22"/>
        <v>571.08799999999997</v>
      </c>
      <c r="N452" s="20">
        <f>Tabla1[[#This Row],[Venta Total (USD)]] - Tabla1[[#This Row],[Costo Total (USD)]]</f>
        <v>244.75200000000007</v>
      </c>
    </row>
    <row r="453" spans="1:14" x14ac:dyDescent="0.25">
      <c r="A453" t="s">
        <v>16</v>
      </c>
      <c r="B453" t="s">
        <v>13</v>
      </c>
      <c r="C453" t="s">
        <v>30</v>
      </c>
      <c r="D453">
        <v>2023</v>
      </c>
      <c r="E453">
        <v>3</v>
      </c>
      <c r="F453">
        <v>16</v>
      </c>
      <c r="G453" s="20">
        <v>232.64</v>
      </c>
      <c r="H453" s="20">
        <f>Tabla1[[#This Row],[Cantidad Vendida]]*Tabla1[[#This Row],[Precio Unitario (USD)]]</f>
        <v>3722.24</v>
      </c>
      <c r="I453" s="21">
        <v>8</v>
      </c>
      <c r="J453" s="5">
        <f t="shared" si="23"/>
        <v>29777.919999999998</v>
      </c>
      <c r="K453" t="str">
        <f>IF(Tabla1[[#This Row],[Venta Total (Q)]] = 0, "Sin ventas", "Con ventas")</f>
        <v>Con ventas</v>
      </c>
      <c r="L453" s="20">
        <f t="shared" si="21"/>
        <v>162.84799999999998</v>
      </c>
      <c r="M453" s="20">
        <f t="shared" si="22"/>
        <v>2605.5679999999998</v>
      </c>
      <c r="N453" s="20">
        <f>Tabla1[[#This Row],[Venta Total (USD)]] - Tabla1[[#This Row],[Costo Total (USD)]]</f>
        <v>1116.672</v>
      </c>
    </row>
    <row r="454" spans="1:14" x14ac:dyDescent="0.25">
      <c r="A454" t="s">
        <v>16</v>
      </c>
      <c r="B454" t="s">
        <v>11</v>
      </c>
      <c r="C454" t="s">
        <v>25</v>
      </c>
      <c r="D454">
        <v>2025</v>
      </c>
      <c r="E454">
        <v>7</v>
      </c>
      <c r="F454">
        <v>19</v>
      </c>
      <c r="G454" s="20">
        <v>388.73</v>
      </c>
      <c r="H454" s="20">
        <f>Tabla1[[#This Row],[Cantidad Vendida]]*Tabla1[[#This Row],[Precio Unitario (USD)]]</f>
        <v>7385.8700000000008</v>
      </c>
      <c r="I454" s="21">
        <v>7.86</v>
      </c>
      <c r="J454" s="5">
        <f t="shared" si="23"/>
        <v>58052.938200000011</v>
      </c>
      <c r="K454" t="str">
        <f>IF(Tabla1[[#This Row],[Venta Total (Q)]] = 0, "Sin ventas", "Con ventas")</f>
        <v>Con ventas</v>
      </c>
      <c r="L454" s="20">
        <f t="shared" si="21"/>
        <v>272.11099999999999</v>
      </c>
      <c r="M454" s="20">
        <f t="shared" si="22"/>
        <v>5170.1089999999995</v>
      </c>
      <c r="N454" s="20">
        <f>Tabla1[[#This Row],[Venta Total (USD)]] - Tabla1[[#This Row],[Costo Total (USD)]]</f>
        <v>2215.7610000000013</v>
      </c>
    </row>
    <row r="455" spans="1:14" x14ac:dyDescent="0.25">
      <c r="A455" t="s">
        <v>20</v>
      </c>
      <c r="B455" t="s">
        <v>21</v>
      </c>
      <c r="C455" t="s">
        <v>24</v>
      </c>
      <c r="D455">
        <v>2022</v>
      </c>
      <c r="E455">
        <v>11</v>
      </c>
      <c r="F455">
        <v>7</v>
      </c>
      <c r="G455" s="20">
        <v>297.62</v>
      </c>
      <c r="H455" s="20">
        <f>Tabla1[[#This Row],[Cantidad Vendida]]*Tabla1[[#This Row],[Precio Unitario (USD)]]</f>
        <v>2083.34</v>
      </c>
      <c r="I455" s="21">
        <v>8.33</v>
      </c>
      <c r="J455" s="5">
        <f t="shared" si="23"/>
        <v>17354.2222</v>
      </c>
      <c r="K455" t="str">
        <f>IF(Tabla1[[#This Row],[Venta Total (Q)]] = 0, "Sin ventas", "Con ventas")</f>
        <v>Con ventas</v>
      </c>
      <c r="L455" s="20">
        <f t="shared" si="21"/>
        <v>208.334</v>
      </c>
      <c r="M455" s="20">
        <f t="shared" si="22"/>
        <v>1458.338</v>
      </c>
      <c r="N455" s="20">
        <f>Tabla1[[#This Row],[Venta Total (USD)]] - Tabla1[[#This Row],[Costo Total (USD)]]</f>
        <v>625.00200000000018</v>
      </c>
    </row>
    <row r="456" spans="1:14" x14ac:dyDescent="0.25">
      <c r="A456" t="s">
        <v>16</v>
      </c>
      <c r="B456" t="s">
        <v>21</v>
      </c>
      <c r="C456" t="s">
        <v>32</v>
      </c>
      <c r="D456">
        <v>2023</v>
      </c>
      <c r="E456">
        <v>12</v>
      </c>
      <c r="F456">
        <v>2</v>
      </c>
      <c r="G456" s="20">
        <v>149.63</v>
      </c>
      <c r="H456" s="20">
        <f>Tabla1[[#This Row],[Cantidad Vendida]]*Tabla1[[#This Row],[Precio Unitario (USD)]]</f>
        <v>299.26</v>
      </c>
      <c r="I456" s="21">
        <v>8.36</v>
      </c>
      <c r="J456" s="5">
        <f t="shared" si="23"/>
        <v>2501.8136</v>
      </c>
      <c r="K456" t="str">
        <f>IF(Tabla1[[#This Row],[Venta Total (Q)]] = 0, "Sin ventas", "Con ventas")</f>
        <v>Con ventas</v>
      </c>
      <c r="L456" s="20">
        <f t="shared" si="21"/>
        <v>104.74099999999999</v>
      </c>
      <c r="M456" s="20">
        <f t="shared" si="22"/>
        <v>209.48199999999997</v>
      </c>
      <c r="N456" s="20">
        <f>Tabla1[[#This Row],[Venta Total (USD)]] - Tabla1[[#This Row],[Costo Total (USD)]]</f>
        <v>89.77800000000002</v>
      </c>
    </row>
    <row r="457" spans="1:14" x14ac:dyDescent="0.25">
      <c r="A457" t="s">
        <v>15</v>
      </c>
      <c r="B457" t="s">
        <v>17</v>
      </c>
      <c r="C457" t="s">
        <v>26</v>
      </c>
      <c r="D457">
        <v>2024</v>
      </c>
      <c r="E457">
        <v>6</v>
      </c>
      <c r="F457">
        <v>16</v>
      </c>
      <c r="G457" s="20">
        <v>270.75</v>
      </c>
      <c r="H457" s="20">
        <f>Tabla1[[#This Row],[Cantidad Vendida]]*Tabla1[[#This Row],[Precio Unitario (USD)]]</f>
        <v>4332</v>
      </c>
      <c r="I457" s="21">
        <v>7.57</v>
      </c>
      <c r="J457" s="5">
        <f t="shared" si="23"/>
        <v>32793.24</v>
      </c>
      <c r="K457" t="str">
        <f>IF(Tabla1[[#This Row],[Venta Total (Q)]] = 0, "Sin ventas", "Con ventas")</f>
        <v>Con ventas</v>
      </c>
      <c r="L457" s="20">
        <f t="shared" si="21"/>
        <v>189.52499999999998</v>
      </c>
      <c r="M457" s="20">
        <f t="shared" si="22"/>
        <v>3032.3999999999996</v>
      </c>
      <c r="N457" s="20">
        <f>Tabla1[[#This Row],[Venta Total (USD)]] - Tabla1[[#This Row],[Costo Total (USD)]]</f>
        <v>1299.6000000000004</v>
      </c>
    </row>
    <row r="458" spans="1:14" x14ac:dyDescent="0.25">
      <c r="A458" t="s">
        <v>15</v>
      </c>
      <c r="B458" t="s">
        <v>17</v>
      </c>
      <c r="C458" t="s">
        <v>18</v>
      </c>
      <c r="D458">
        <v>2024</v>
      </c>
      <c r="E458">
        <v>2</v>
      </c>
      <c r="F458">
        <v>9</v>
      </c>
      <c r="G458" s="20">
        <v>214.68</v>
      </c>
      <c r="H458" s="20">
        <f>Tabla1[[#This Row],[Cantidad Vendida]]*Tabla1[[#This Row],[Precio Unitario (USD)]]</f>
        <v>1932.1200000000001</v>
      </c>
      <c r="I458" s="21">
        <v>7.8</v>
      </c>
      <c r="J458" s="5">
        <f t="shared" si="23"/>
        <v>15070.536</v>
      </c>
      <c r="K458" t="str">
        <f>IF(Tabla1[[#This Row],[Venta Total (Q)]] = 0, "Sin ventas", "Con ventas")</f>
        <v>Con ventas</v>
      </c>
      <c r="L458" s="20">
        <f t="shared" si="21"/>
        <v>150.27599999999998</v>
      </c>
      <c r="M458" s="20">
        <f t="shared" si="22"/>
        <v>1352.4839999999999</v>
      </c>
      <c r="N458" s="20">
        <f>Tabla1[[#This Row],[Venta Total (USD)]] - Tabla1[[#This Row],[Costo Total (USD)]]</f>
        <v>579.63600000000019</v>
      </c>
    </row>
    <row r="459" spans="1:14" x14ac:dyDescent="0.25">
      <c r="A459" t="s">
        <v>16</v>
      </c>
      <c r="B459" t="s">
        <v>21</v>
      </c>
      <c r="C459" t="s">
        <v>34</v>
      </c>
      <c r="D459">
        <v>2023</v>
      </c>
      <c r="E459">
        <v>9</v>
      </c>
      <c r="F459">
        <v>18</v>
      </c>
      <c r="G459" s="20">
        <v>252.87</v>
      </c>
      <c r="H459" s="20">
        <f>Tabla1[[#This Row],[Cantidad Vendida]]*Tabla1[[#This Row],[Precio Unitario (USD)]]</f>
        <v>4551.66</v>
      </c>
      <c r="I459" s="21">
        <v>7.72</v>
      </c>
      <c r="J459" s="5">
        <f t="shared" si="23"/>
        <v>35138.815199999997</v>
      </c>
      <c r="K459" t="str">
        <f>IF(Tabla1[[#This Row],[Venta Total (Q)]] = 0, "Sin ventas", "Con ventas")</f>
        <v>Con ventas</v>
      </c>
      <c r="L459" s="20">
        <f t="shared" si="21"/>
        <v>177.00899999999999</v>
      </c>
      <c r="M459" s="20">
        <f t="shared" si="22"/>
        <v>3186.1619999999998</v>
      </c>
      <c r="N459" s="20">
        <f>Tabla1[[#This Row],[Venta Total (USD)]] - Tabla1[[#This Row],[Costo Total (USD)]]</f>
        <v>1365.498</v>
      </c>
    </row>
    <row r="460" spans="1:14" x14ac:dyDescent="0.25">
      <c r="A460" t="s">
        <v>35</v>
      </c>
      <c r="B460" t="s">
        <v>21</v>
      </c>
      <c r="C460" t="s">
        <v>24</v>
      </c>
      <c r="D460">
        <v>2023</v>
      </c>
      <c r="E460">
        <v>6</v>
      </c>
      <c r="F460">
        <v>19</v>
      </c>
      <c r="G460" s="20">
        <v>447.78</v>
      </c>
      <c r="H460" s="20">
        <f>Tabla1[[#This Row],[Cantidad Vendida]]*Tabla1[[#This Row],[Precio Unitario (USD)]]</f>
        <v>8507.82</v>
      </c>
      <c r="I460" s="21">
        <v>8.26</v>
      </c>
      <c r="J460" s="5">
        <f t="shared" si="23"/>
        <v>70274.593200000003</v>
      </c>
      <c r="K460" t="str">
        <f>IF(Tabla1[[#This Row],[Venta Total (Q)]] = 0, "Sin ventas", "Con ventas")</f>
        <v>Con ventas</v>
      </c>
      <c r="L460" s="20">
        <f t="shared" si="21"/>
        <v>313.44599999999997</v>
      </c>
      <c r="M460" s="20">
        <f t="shared" si="22"/>
        <v>5955.4739999999993</v>
      </c>
      <c r="N460" s="20">
        <f>Tabla1[[#This Row],[Venta Total (USD)]] - Tabla1[[#This Row],[Costo Total (USD)]]</f>
        <v>2552.3460000000005</v>
      </c>
    </row>
    <row r="461" spans="1:14" x14ac:dyDescent="0.25">
      <c r="A461" t="s">
        <v>10</v>
      </c>
      <c r="B461" t="s">
        <v>11</v>
      </c>
      <c r="C461" t="s">
        <v>25</v>
      </c>
      <c r="D461">
        <v>2022</v>
      </c>
      <c r="E461">
        <v>8</v>
      </c>
      <c r="F461">
        <v>3</v>
      </c>
      <c r="G461" s="20">
        <v>52.48</v>
      </c>
      <c r="H461" s="20">
        <f>Tabla1[[#This Row],[Cantidad Vendida]]*Tabla1[[#This Row],[Precio Unitario (USD)]]</f>
        <v>157.44</v>
      </c>
      <c r="I461" s="21">
        <v>8.33</v>
      </c>
      <c r="J461" s="5">
        <f t="shared" si="23"/>
        <v>1311.4752000000001</v>
      </c>
      <c r="K461" t="str">
        <f>IF(Tabla1[[#This Row],[Venta Total (Q)]] = 0, "Sin ventas", "Con ventas")</f>
        <v>Con ventas</v>
      </c>
      <c r="L461" s="20">
        <f t="shared" si="21"/>
        <v>36.735999999999997</v>
      </c>
      <c r="M461" s="20">
        <f t="shared" si="22"/>
        <v>110.208</v>
      </c>
      <c r="N461" s="20">
        <f>Tabla1[[#This Row],[Venta Total (USD)]] - Tabla1[[#This Row],[Costo Total (USD)]]</f>
        <v>47.231999999999999</v>
      </c>
    </row>
    <row r="462" spans="1:14" x14ac:dyDescent="0.25">
      <c r="A462" t="s">
        <v>16</v>
      </c>
      <c r="B462" t="s">
        <v>21</v>
      </c>
      <c r="C462" t="s">
        <v>34</v>
      </c>
      <c r="D462">
        <v>2024</v>
      </c>
      <c r="E462">
        <v>10</v>
      </c>
      <c r="F462">
        <v>5</v>
      </c>
      <c r="G462" s="20">
        <v>337.14</v>
      </c>
      <c r="H462" s="20">
        <f>Tabla1[[#This Row],[Cantidad Vendida]]*Tabla1[[#This Row],[Precio Unitario (USD)]]</f>
        <v>1685.6999999999998</v>
      </c>
      <c r="I462" s="21">
        <v>7.72</v>
      </c>
      <c r="J462" s="5">
        <f t="shared" si="23"/>
        <v>13013.603999999998</v>
      </c>
      <c r="K462" t="str">
        <f>IF(Tabla1[[#This Row],[Venta Total (Q)]] = 0, "Sin ventas", "Con ventas")</f>
        <v>Con ventas</v>
      </c>
      <c r="L462" s="20">
        <f t="shared" si="21"/>
        <v>235.99799999999996</v>
      </c>
      <c r="M462" s="20">
        <f t="shared" si="22"/>
        <v>1179.9899999999998</v>
      </c>
      <c r="N462" s="20">
        <f>Tabla1[[#This Row],[Venta Total (USD)]] - Tabla1[[#This Row],[Costo Total (USD)]]</f>
        <v>505.71000000000004</v>
      </c>
    </row>
    <row r="463" spans="1:14" x14ac:dyDescent="0.25">
      <c r="A463" t="s">
        <v>20</v>
      </c>
      <c r="B463" t="s">
        <v>28</v>
      </c>
      <c r="C463" t="s">
        <v>38</v>
      </c>
      <c r="D463">
        <v>2024</v>
      </c>
      <c r="E463">
        <v>12</v>
      </c>
      <c r="F463">
        <v>10</v>
      </c>
      <c r="G463" s="20">
        <v>446.99</v>
      </c>
      <c r="H463" s="20">
        <f>Tabla1[[#This Row],[Cantidad Vendida]]*Tabla1[[#This Row],[Precio Unitario (USD)]]</f>
        <v>4469.8999999999996</v>
      </c>
      <c r="I463" s="21">
        <v>8.15</v>
      </c>
      <c r="J463" s="5">
        <f t="shared" si="23"/>
        <v>36429.684999999998</v>
      </c>
      <c r="K463" t="str">
        <f>IF(Tabla1[[#This Row],[Venta Total (Q)]] = 0, "Sin ventas", "Con ventas")</f>
        <v>Con ventas</v>
      </c>
      <c r="L463" s="20">
        <f t="shared" si="21"/>
        <v>312.89299999999997</v>
      </c>
      <c r="M463" s="20">
        <f t="shared" si="22"/>
        <v>3128.93</v>
      </c>
      <c r="N463" s="20">
        <f>Tabla1[[#This Row],[Venta Total (USD)]] - Tabla1[[#This Row],[Costo Total (USD)]]</f>
        <v>1340.9699999999998</v>
      </c>
    </row>
    <row r="464" spans="1:14" x14ac:dyDescent="0.25">
      <c r="A464" t="s">
        <v>20</v>
      </c>
      <c r="B464" t="s">
        <v>28</v>
      </c>
      <c r="C464" t="s">
        <v>29</v>
      </c>
      <c r="D464">
        <v>2025</v>
      </c>
      <c r="E464">
        <v>5</v>
      </c>
      <c r="F464">
        <v>15</v>
      </c>
      <c r="G464" s="20">
        <v>422.41</v>
      </c>
      <c r="H464" s="20">
        <f>Tabla1[[#This Row],[Cantidad Vendida]]*Tabla1[[#This Row],[Precio Unitario (USD)]]</f>
        <v>6336.1500000000005</v>
      </c>
      <c r="I464" s="21">
        <v>7.56</v>
      </c>
      <c r="J464" s="5">
        <f t="shared" si="23"/>
        <v>47901.294000000002</v>
      </c>
      <c r="K464" t="str">
        <f>IF(Tabla1[[#This Row],[Venta Total (Q)]] = 0, "Sin ventas", "Con ventas")</f>
        <v>Con ventas</v>
      </c>
      <c r="L464" s="20">
        <f t="shared" si="21"/>
        <v>295.68700000000001</v>
      </c>
      <c r="M464" s="20">
        <f t="shared" si="22"/>
        <v>4435.3050000000003</v>
      </c>
      <c r="N464" s="20">
        <f>Tabla1[[#This Row],[Venta Total (USD)]] - Tabla1[[#This Row],[Costo Total (USD)]]</f>
        <v>1900.8450000000003</v>
      </c>
    </row>
    <row r="465" spans="1:14" x14ac:dyDescent="0.25">
      <c r="A465" t="s">
        <v>20</v>
      </c>
      <c r="B465" t="s">
        <v>28</v>
      </c>
      <c r="C465" t="s">
        <v>39</v>
      </c>
      <c r="D465">
        <v>2024</v>
      </c>
      <c r="E465">
        <v>11</v>
      </c>
      <c r="F465">
        <v>15</v>
      </c>
      <c r="G465" s="20">
        <v>255.14</v>
      </c>
      <c r="H465" s="20">
        <f>Tabla1[[#This Row],[Cantidad Vendida]]*Tabla1[[#This Row],[Precio Unitario (USD)]]</f>
        <v>3827.1</v>
      </c>
      <c r="I465" s="21">
        <v>7.76</v>
      </c>
      <c r="J465" s="5">
        <f t="shared" si="23"/>
        <v>29698.295999999998</v>
      </c>
      <c r="K465" t="str">
        <f>IF(Tabla1[[#This Row],[Venta Total (Q)]] = 0, "Sin ventas", "Con ventas")</f>
        <v>Con ventas</v>
      </c>
      <c r="L465" s="20">
        <f t="shared" si="21"/>
        <v>178.59799999999998</v>
      </c>
      <c r="M465" s="20">
        <f t="shared" si="22"/>
        <v>2678.97</v>
      </c>
      <c r="N465" s="20">
        <f>Tabla1[[#This Row],[Venta Total (USD)]] - Tabla1[[#This Row],[Costo Total (USD)]]</f>
        <v>1148.1300000000001</v>
      </c>
    </row>
    <row r="466" spans="1:14" x14ac:dyDescent="0.25">
      <c r="A466" t="s">
        <v>15</v>
      </c>
      <c r="B466" t="s">
        <v>13</v>
      </c>
      <c r="C466" t="s">
        <v>30</v>
      </c>
      <c r="D466">
        <v>2022</v>
      </c>
      <c r="E466">
        <v>12</v>
      </c>
      <c r="F466">
        <v>7</v>
      </c>
      <c r="G466" s="20">
        <v>124.97</v>
      </c>
      <c r="H466" s="20">
        <f>Tabla1[[#This Row],[Cantidad Vendida]]*Tabla1[[#This Row],[Precio Unitario (USD)]]</f>
        <v>874.79</v>
      </c>
      <c r="I466" s="21">
        <v>7.85</v>
      </c>
      <c r="J466" s="5">
        <f t="shared" si="23"/>
        <v>6867.1014999999998</v>
      </c>
      <c r="K466" t="str">
        <f>IF(Tabla1[[#This Row],[Venta Total (Q)]] = 0, "Sin ventas", "Con ventas")</f>
        <v>Con ventas</v>
      </c>
      <c r="L466" s="20">
        <f t="shared" si="21"/>
        <v>87.478999999999999</v>
      </c>
      <c r="M466" s="20">
        <f t="shared" si="22"/>
        <v>612.35299999999995</v>
      </c>
      <c r="N466" s="20">
        <f>Tabla1[[#This Row],[Venta Total (USD)]] - Tabla1[[#This Row],[Costo Total (USD)]]</f>
        <v>262.43700000000001</v>
      </c>
    </row>
    <row r="467" spans="1:14" x14ac:dyDescent="0.25">
      <c r="A467" t="s">
        <v>15</v>
      </c>
      <c r="B467" t="s">
        <v>28</v>
      </c>
      <c r="C467" t="s">
        <v>29</v>
      </c>
      <c r="D467">
        <v>2025</v>
      </c>
      <c r="E467">
        <v>9</v>
      </c>
      <c r="F467">
        <v>15</v>
      </c>
      <c r="G467" s="20">
        <v>491.05</v>
      </c>
      <c r="H467" s="20">
        <f>Tabla1[[#This Row],[Cantidad Vendida]]*Tabla1[[#This Row],[Precio Unitario (USD)]]</f>
        <v>7365.75</v>
      </c>
      <c r="I467" s="21">
        <v>8.43</v>
      </c>
      <c r="J467" s="5">
        <f t="shared" si="23"/>
        <v>62093.272499999999</v>
      </c>
      <c r="K467" t="str">
        <f>IF(Tabla1[[#This Row],[Venta Total (Q)]] = 0, "Sin ventas", "Con ventas")</f>
        <v>Con ventas</v>
      </c>
      <c r="L467" s="20">
        <f t="shared" si="21"/>
        <v>343.73500000000001</v>
      </c>
      <c r="M467" s="20">
        <f t="shared" si="22"/>
        <v>5156.0250000000005</v>
      </c>
      <c r="N467" s="20">
        <f>Tabla1[[#This Row],[Venta Total (USD)]] - Tabla1[[#This Row],[Costo Total (USD)]]</f>
        <v>2209.7249999999995</v>
      </c>
    </row>
    <row r="468" spans="1:14" x14ac:dyDescent="0.25">
      <c r="A468" t="s">
        <v>20</v>
      </c>
      <c r="B468" t="s">
        <v>11</v>
      </c>
      <c r="C468" t="s">
        <v>37</v>
      </c>
      <c r="D468">
        <v>2022</v>
      </c>
      <c r="E468">
        <v>2</v>
      </c>
      <c r="F468">
        <v>10</v>
      </c>
      <c r="G468" s="20">
        <v>96.26</v>
      </c>
      <c r="H468" s="20">
        <f>Tabla1[[#This Row],[Cantidad Vendida]]*Tabla1[[#This Row],[Precio Unitario (USD)]]</f>
        <v>962.6</v>
      </c>
      <c r="I468" s="21">
        <v>7.85</v>
      </c>
      <c r="J468" s="5">
        <f t="shared" si="23"/>
        <v>7556.41</v>
      </c>
      <c r="K468" t="str">
        <f>IF(Tabla1[[#This Row],[Venta Total (Q)]] = 0, "Sin ventas", "Con ventas")</f>
        <v>Con ventas</v>
      </c>
      <c r="L468" s="20">
        <f t="shared" si="21"/>
        <v>67.382000000000005</v>
      </c>
      <c r="M468" s="20">
        <f t="shared" si="22"/>
        <v>673.82</v>
      </c>
      <c r="N468" s="20">
        <f>Tabla1[[#This Row],[Venta Total (USD)]] - Tabla1[[#This Row],[Costo Total (USD)]]</f>
        <v>288.77999999999997</v>
      </c>
    </row>
    <row r="469" spans="1:14" x14ac:dyDescent="0.25">
      <c r="A469" t="s">
        <v>20</v>
      </c>
      <c r="B469" t="s">
        <v>21</v>
      </c>
      <c r="C469" t="s">
        <v>22</v>
      </c>
      <c r="D469">
        <v>2024</v>
      </c>
      <c r="E469">
        <v>6</v>
      </c>
      <c r="F469">
        <v>8</v>
      </c>
      <c r="G469" s="20">
        <v>389.83</v>
      </c>
      <c r="H469" s="20">
        <f>Tabla1[[#This Row],[Cantidad Vendida]]*Tabla1[[#This Row],[Precio Unitario (USD)]]</f>
        <v>3118.64</v>
      </c>
      <c r="I469" s="21">
        <v>7.99</v>
      </c>
      <c r="J469" s="5">
        <f t="shared" si="23"/>
        <v>24917.9336</v>
      </c>
      <c r="K469" t="str">
        <f>IF(Tabla1[[#This Row],[Venta Total (Q)]] = 0, "Sin ventas", "Con ventas")</f>
        <v>Con ventas</v>
      </c>
      <c r="L469" s="20">
        <f t="shared" si="21"/>
        <v>272.88099999999997</v>
      </c>
      <c r="M469" s="20">
        <f t="shared" si="22"/>
        <v>2183.0479999999998</v>
      </c>
      <c r="N469" s="20">
        <f>Tabla1[[#This Row],[Venta Total (USD)]] - Tabla1[[#This Row],[Costo Total (USD)]]</f>
        <v>935.5920000000001</v>
      </c>
    </row>
    <row r="470" spans="1:14" x14ac:dyDescent="0.25">
      <c r="A470" t="s">
        <v>10</v>
      </c>
      <c r="B470" t="s">
        <v>28</v>
      </c>
      <c r="C470" t="s">
        <v>29</v>
      </c>
      <c r="D470">
        <v>2023</v>
      </c>
      <c r="E470">
        <v>2</v>
      </c>
      <c r="F470">
        <v>11</v>
      </c>
      <c r="G470" s="20">
        <v>179.51</v>
      </c>
      <c r="H470" s="20">
        <f>Tabla1[[#This Row],[Cantidad Vendida]]*Tabla1[[#This Row],[Precio Unitario (USD)]]</f>
        <v>1974.61</v>
      </c>
      <c r="I470" s="21">
        <v>7.78</v>
      </c>
      <c r="J470" s="5">
        <f t="shared" si="23"/>
        <v>15362.4658</v>
      </c>
      <c r="K470" t="str">
        <f>IF(Tabla1[[#This Row],[Venta Total (Q)]] = 0, "Sin ventas", "Con ventas")</f>
        <v>Con ventas</v>
      </c>
      <c r="L470" s="20">
        <f t="shared" si="21"/>
        <v>125.65699999999998</v>
      </c>
      <c r="M470" s="20">
        <f t="shared" si="22"/>
        <v>1382.2269999999999</v>
      </c>
      <c r="N470" s="20">
        <f>Tabla1[[#This Row],[Venta Total (USD)]] - Tabla1[[#This Row],[Costo Total (USD)]]</f>
        <v>592.38300000000004</v>
      </c>
    </row>
    <row r="471" spans="1:14" x14ac:dyDescent="0.25">
      <c r="A471" t="s">
        <v>31</v>
      </c>
      <c r="B471" t="s">
        <v>21</v>
      </c>
      <c r="C471" t="s">
        <v>24</v>
      </c>
      <c r="D471">
        <v>2022</v>
      </c>
      <c r="E471">
        <v>12</v>
      </c>
      <c r="F471">
        <v>9</v>
      </c>
      <c r="G471" s="20">
        <v>304.82</v>
      </c>
      <c r="H471" s="20">
        <f>Tabla1[[#This Row],[Cantidad Vendida]]*Tabla1[[#This Row],[Precio Unitario (USD)]]</f>
        <v>2743.38</v>
      </c>
      <c r="I471" s="21">
        <v>7.6</v>
      </c>
      <c r="J471" s="5">
        <f t="shared" si="23"/>
        <v>20849.687999999998</v>
      </c>
      <c r="K471" t="str">
        <f>IF(Tabla1[[#This Row],[Venta Total (Q)]] = 0, "Sin ventas", "Con ventas")</f>
        <v>Con ventas</v>
      </c>
      <c r="L471" s="20">
        <f t="shared" si="21"/>
        <v>213.374</v>
      </c>
      <c r="M471" s="20">
        <f t="shared" si="22"/>
        <v>1920.366</v>
      </c>
      <c r="N471" s="20">
        <f>Tabla1[[#This Row],[Venta Total (USD)]] - Tabla1[[#This Row],[Costo Total (USD)]]</f>
        <v>823.01400000000012</v>
      </c>
    </row>
    <row r="472" spans="1:14" x14ac:dyDescent="0.25">
      <c r="A472" t="s">
        <v>35</v>
      </c>
      <c r="B472" t="s">
        <v>11</v>
      </c>
      <c r="C472" t="s">
        <v>25</v>
      </c>
      <c r="D472">
        <v>2024</v>
      </c>
      <c r="E472">
        <v>11</v>
      </c>
      <c r="F472">
        <v>17</v>
      </c>
      <c r="G472" s="20">
        <v>192.36</v>
      </c>
      <c r="H472" s="20">
        <f>Tabla1[[#This Row],[Cantidad Vendida]]*Tabla1[[#This Row],[Precio Unitario (USD)]]</f>
        <v>3270.1200000000003</v>
      </c>
      <c r="I472" s="21">
        <v>7.58</v>
      </c>
      <c r="J472" s="5">
        <f t="shared" si="23"/>
        <v>24787.509600000001</v>
      </c>
      <c r="K472" t="str">
        <f>IF(Tabla1[[#This Row],[Venta Total (Q)]] = 0, "Sin ventas", "Con ventas")</f>
        <v>Con ventas</v>
      </c>
      <c r="L472" s="20">
        <f t="shared" si="21"/>
        <v>134.65199999999999</v>
      </c>
      <c r="M472" s="20">
        <f t="shared" si="22"/>
        <v>2289.0839999999998</v>
      </c>
      <c r="N472" s="20">
        <f>Tabla1[[#This Row],[Venta Total (USD)]] - Tabla1[[#This Row],[Costo Total (USD)]]</f>
        <v>981.03600000000051</v>
      </c>
    </row>
    <row r="473" spans="1:14" x14ac:dyDescent="0.25">
      <c r="A473" t="s">
        <v>31</v>
      </c>
      <c r="B473" t="s">
        <v>17</v>
      </c>
      <c r="C473" t="s">
        <v>26</v>
      </c>
      <c r="D473">
        <v>2023</v>
      </c>
      <c r="E473">
        <v>2</v>
      </c>
      <c r="F473">
        <v>6</v>
      </c>
      <c r="G473" s="20">
        <v>445.12</v>
      </c>
      <c r="H473" s="20">
        <f>Tabla1[[#This Row],[Cantidad Vendida]]*Tabla1[[#This Row],[Precio Unitario (USD)]]</f>
        <v>2670.7200000000003</v>
      </c>
      <c r="I473" s="21">
        <v>7.64</v>
      </c>
      <c r="J473" s="5">
        <f t="shared" si="23"/>
        <v>20404.300800000001</v>
      </c>
      <c r="K473" t="str">
        <f>IF(Tabla1[[#This Row],[Venta Total (Q)]] = 0, "Sin ventas", "Con ventas")</f>
        <v>Con ventas</v>
      </c>
      <c r="L473" s="20">
        <f t="shared" si="21"/>
        <v>311.584</v>
      </c>
      <c r="M473" s="20">
        <f t="shared" si="22"/>
        <v>1869.5039999999999</v>
      </c>
      <c r="N473" s="20">
        <f>Tabla1[[#This Row],[Venta Total (USD)]] - Tabla1[[#This Row],[Costo Total (USD)]]</f>
        <v>801.21600000000035</v>
      </c>
    </row>
    <row r="474" spans="1:14" x14ac:dyDescent="0.25">
      <c r="A474" t="s">
        <v>15</v>
      </c>
      <c r="B474" t="s">
        <v>11</v>
      </c>
      <c r="C474" t="s">
        <v>23</v>
      </c>
      <c r="D474">
        <v>2022</v>
      </c>
      <c r="E474">
        <v>11</v>
      </c>
      <c r="F474">
        <v>19</v>
      </c>
      <c r="G474" s="20">
        <v>216.18</v>
      </c>
      <c r="H474" s="20">
        <f>Tabla1[[#This Row],[Cantidad Vendida]]*Tabla1[[#This Row],[Precio Unitario (USD)]]</f>
        <v>4107.42</v>
      </c>
      <c r="I474" s="21">
        <v>8.02</v>
      </c>
      <c r="J474" s="5">
        <f t="shared" si="23"/>
        <v>32941.508399999999</v>
      </c>
      <c r="K474" t="str">
        <f>IF(Tabla1[[#This Row],[Venta Total (Q)]] = 0, "Sin ventas", "Con ventas")</f>
        <v>Con ventas</v>
      </c>
      <c r="L474" s="20">
        <f t="shared" si="21"/>
        <v>151.32599999999999</v>
      </c>
      <c r="M474" s="20">
        <f t="shared" si="22"/>
        <v>2875.194</v>
      </c>
      <c r="N474" s="20">
        <f>Tabla1[[#This Row],[Venta Total (USD)]] - Tabla1[[#This Row],[Costo Total (USD)]]</f>
        <v>1232.2260000000001</v>
      </c>
    </row>
    <row r="475" spans="1:14" x14ac:dyDescent="0.25">
      <c r="A475" t="s">
        <v>35</v>
      </c>
      <c r="B475" t="s">
        <v>21</v>
      </c>
      <c r="C475" t="s">
        <v>24</v>
      </c>
      <c r="D475">
        <v>2025</v>
      </c>
      <c r="E475">
        <v>9</v>
      </c>
      <c r="F475">
        <v>3</v>
      </c>
      <c r="G475" s="20">
        <v>187.64</v>
      </c>
      <c r="H475" s="20">
        <f>Tabla1[[#This Row],[Cantidad Vendida]]*Tabla1[[#This Row],[Precio Unitario (USD)]]</f>
        <v>562.91999999999996</v>
      </c>
      <c r="I475" s="21">
        <v>7.5</v>
      </c>
      <c r="J475" s="5">
        <f t="shared" si="23"/>
        <v>4221.8999999999996</v>
      </c>
      <c r="K475" t="str">
        <f>IF(Tabla1[[#This Row],[Venta Total (Q)]] = 0, "Sin ventas", "Con ventas")</f>
        <v>Con ventas</v>
      </c>
      <c r="L475" s="20">
        <f t="shared" si="21"/>
        <v>131.34799999999998</v>
      </c>
      <c r="M475" s="20">
        <f t="shared" si="22"/>
        <v>394.04399999999998</v>
      </c>
      <c r="N475" s="20">
        <f>Tabla1[[#This Row],[Venta Total (USD)]] - Tabla1[[#This Row],[Costo Total (USD)]]</f>
        <v>168.87599999999998</v>
      </c>
    </row>
    <row r="476" spans="1:14" x14ac:dyDescent="0.25">
      <c r="A476" t="s">
        <v>35</v>
      </c>
      <c r="B476" t="s">
        <v>11</v>
      </c>
      <c r="C476" t="s">
        <v>23</v>
      </c>
      <c r="D476">
        <v>2025</v>
      </c>
      <c r="E476">
        <v>2</v>
      </c>
      <c r="F476">
        <v>16</v>
      </c>
      <c r="G476" s="20">
        <v>270.16000000000003</v>
      </c>
      <c r="H476" s="20">
        <f>Tabla1[[#This Row],[Cantidad Vendida]]*Tabla1[[#This Row],[Precio Unitario (USD)]]</f>
        <v>4322.5600000000004</v>
      </c>
      <c r="I476" s="21">
        <v>7.53</v>
      </c>
      <c r="J476" s="5">
        <f t="shared" si="23"/>
        <v>32548.876800000005</v>
      </c>
      <c r="K476" t="str">
        <f>IF(Tabla1[[#This Row],[Venta Total (Q)]] = 0, "Sin ventas", "Con ventas")</f>
        <v>Con ventas</v>
      </c>
      <c r="L476" s="20">
        <f t="shared" si="21"/>
        <v>189.11199999999999</v>
      </c>
      <c r="M476" s="20">
        <f t="shared" si="22"/>
        <v>3025.7919999999999</v>
      </c>
      <c r="N476" s="20">
        <f>Tabla1[[#This Row],[Venta Total (USD)]] - Tabla1[[#This Row],[Costo Total (USD)]]</f>
        <v>1296.7680000000005</v>
      </c>
    </row>
    <row r="477" spans="1:14" x14ac:dyDescent="0.25">
      <c r="A477" t="s">
        <v>31</v>
      </c>
      <c r="B477" t="s">
        <v>21</v>
      </c>
      <c r="C477" t="s">
        <v>32</v>
      </c>
      <c r="D477">
        <v>2022</v>
      </c>
      <c r="E477">
        <v>5</v>
      </c>
      <c r="F477">
        <v>12</v>
      </c>
      <c r="G477" s="20">
        <v>85.13</v>
      </c>
      <c r="H477" s="20">
        <f>Tabla1[[#This Row],[Cantidad Vendida]]*Tabla1[[#This Row],[Precio Unitario (USD)]]</f>
        <v>1021.56</v>
      </c>
      <c r="I477" s="21">
        <v>7.85</v>
      </c>
      <c r="J477" s="5">
        <f t="shared" si="23"/>
        <v>8019.2459999999992</v>
      </c>
      <c r="K477" t="str">
        <f>IF(Tabla1[[#This Row],[Venta Total (Q)]] = 0, "Sin ventas", "Con ventas")</f>
        <v>Con ventas</v>
      </c>
      <c r="L477" s="20">
        <f t="shared" si="21"/>
        <v>59.590999999999994</v>
      </c>
      <c r="M477" s="20">
        <f t="shared" si="22"/>
        <v>715.09199999999987</v>
      </c>
      <c r="N477" s="20">
        <f>Tabla1[[#This Row],[Venta Total (USD)]] - Tabla1[[#This Row],[Costo Total (USD)]]</f>
        <v>306.46800000000007</v>
      </c>
    </row>
    <row r="478" spans="1:14" x14ac:dyDescent="0.25">
      <c r="A478" t="s">
        <v>16</v>
      </c>
      <c r="B478" t="s">
        <v>13</v>
      </c>
      <c r="C478" t="s">
        <v>30</v>
      </c>
      <c r="D478">
        <v>2024</v>
      </c>
      <c r="E478">
        <v>4</v>
      </c>
      <c r="F478">
        <v>11</v>
      </c>
      <c r="G478" s="20">
        <v>465.38</v>
      </c>
      <c r="H478" s="20">
        <f>Tabla1[[#This Row],[Cantidad Vendida]]*Tabla1[[#This Row],[Precio Unitario (USD)]]</f>
        <v>5119.18</v>
      </c>
      <c r="I478" s="21">
        <v>7.91</v>
      </c>
      <c r="J478" s="5">
        <f t="shared" si="23"/>
        <v>40492.713800000005</v>
      </c>
      <c r="K478" t="str">
        <f>IF(Tabla1[[#This Row],[Venta Total (Q)]] = 0, "Sin ventas", "Con ventas")</f>
        <v>Con ventas</v>
      </c>
      <c r="L478" s="20">
        <f t="shared" si="21"/>
        <v>325.76599999999996</v>
      </c>
      <c r="M478" s="20">
        <f t="shared" si="22"/>
        <v>3583.4259999999995</v>
      </c>
      <c r="N478" s="20">
        <f>Tabla1[[#This Row],[Venta Total (USD)]] - Tabla1[[#This Row],[Costo Total (USD)]]</f>
        <v>1535.7540000000008</v>
      </c>
    </row>
    <row r="479" spans="1:14" x14ac:dyDescent="0.25">
      <c r="A479" t="s">
        <v>20</v>
      </c>
      <c r="B479" t="s">
        <v>21</v>
      </c>
      <c r="C479" t="s">
        <v>34</v>
      </c>
      <c r="D479">
        <v>2024</v>
      </c>
      <c r="E479">
        <v>12</v>
      </c>
      <c r="F479">
        <v>16</v>
      </c>
      <c r="G479" s="20">
        <v>170.96</v>
      </c>
      <c r="H479" s="20">
        <f>Tabla1[[#This Row],[Cantidad Vendida]]*Tabla1[[#This Row],[Precio Unitario (USD)]]</f>
        <v>2735.36</v>
      </c>
      <c r="I479" s="21">
        <v>8.1999999999999993</v>
      </c>
      <c r="J479" s="5">
        <f t="shared" si="23"/>
        <v>22429.951999999997</v>
      </c>
      <c r="K479" t="str">
        <f>IF(Tabla1[[#This Row],[Venta Total (Q)]] = 0, "Sin ventas", "Con ventas")</f>
        <v>Con ventas</v>
      </c>
      <c r="L479" s="20">
        <f t="shared" si="21"/>
        <v>119.672</v>
      </c>
      <c r="M479" s="20">
        <f t="shared" si="22"/>
        <v>1914.752</v>
      </c>
      <c r="N479" s="20">
        <f>Tabla1[[#This Row],[Venta Total (USD)]] - Tabla1[[#This Row],[Costo Total (USD)]]</f>
        <v>820.60800000000017</v>
      </c>
    </row>
    <row r="480" spans="1:14" x14ac:dyDescent="0.25">
      <c r="A480" t="s">
        <v>35</v>
      </c>
      <c r="B480" t="s">
        <v>13</v>
      </c>
      <c r="C480" t="s">
        <v>30</v>
      </c>
      <c r="D480">
        <v>2024</v>
      </c>
      <c r="E480">
        <v>3</v>
      </c>
      <c r="F480">
        <v>19</v>
      </c>
      <c r="G480" s="20">
        <v>265.72000000000003</v>
      </c>
      <c r="H480" s="20">
        <f>Tabla1[[#This Row],[Cantidad Vendida]]*Tabla1[[#This Row],[Precio Unitario (USD)]]</f>
        <v>5048.68</v>
      </c>
      <c r="I480" s="21">
        <v>8.01</v>
      </c>
      <c r="J480" s="5">
        <f t="shared" si="23"/>
        <v>40439.926800000001</v>
      </c>
      <c r="K480" t="str">
        <f>IF(Tabla1[[#This Row],[Venta Total (Q)]] = 0, "Sin ventas", "Con ventas")</f>
        <v>Con ventas</v>
      </c>
      <c r="L480" s="20">
        <f t="shared" si="21"/>
        <v>186.00400000000002</v>
      </c>
      <c r="M480" s="20">
        <f t="shared" si="22"/>
        <v>3534.0760000000005</v>
      </c>
      <c r="N480" s="20">
        <f>Tabla1[[#This Row],[Venta Total (USD)]] - Tabla1[[#This Row],[Costo Total (USD)]]</f>
        <v>1514.6039999999998</v>
      </c>
    </row>
    <row r="481" spans="1:14" x14ac:dyDescent="0.25">
      <c r="A481" t="s">
        <v>10</v>
      </c>
      <c r="B481" t="s">
        <v>13</v>
      </c>
      <c r="C481" t="s">
        <v>27</v>
      </c>
      <c r="D481">
        <v>2023</v>
      </c>
      <c r="E481">
        <v>4</v>
      </c>
      <c r="F481">
        <v>13</v>
      </c>
      <c r="G481" s="20">
        <v>498.01</v>
      </c>
      <c r="H481" s="20">
        <f>Tabla1[[#This Row],[Cantidad Vendida]]*Tabla1[[#This Row],[Precio Unitario (USD)]]</f>
        <v>6474.13</v>
      </c>
      <c r="I481" s="21">
        <v>7.63</v>
      </c>
      <c r="J481" s="5">
        <f t="shared" si="23"/>
        <v>49397.611900000004</v>
      </c>
      <c r="K481" t="str">
        <f>IF(Tabla1[[#This Row],[Venta Total (Q)]] = 0, "Sin ventas", "Con ventas")</f>
        <v>Con ventas</v>
      </c>
      <c r="L481" s="20">
        <f t="shared" si="21"/>
        <v>348.60699999999997</v>
      </c>
      <c r="M481" s="20">
        <f t="shared" si="22"/>
        <v>4531.8909999999996</v>
      </c>
      <c r="N481" s="20">
        <f>Tabla1[[#This Row],[Venta Total (USD)]] - Tabla1[[#This Row],[Costo Total (USD)]]</f>
        <v>1942.2390000000005</v>
      </c>
    </row>
    <row r="482" spans="1:14" x14ac:dyDescent="0.25">
      <c r="A482" t="s">
        <v>16</v>
      </c>
      <c r="B482" t="s">
        <v>11</v>
      </c>
      <c r="C482" t="s">
        <v>23</v>
      </c>
      <c r="D482">
        <v>2024</v>
      </c>
      <c r="E482">
        <v>4</v>
      </c>
      <c r="F482">
        <v>13</v>
      </c>
      <c r="G482" s="20">
        <v>68.89</v>
      </c>
      <c r="H482" s="20">
        <f>Tabla1[[#This Row],[Cantidad Vendida]]*Tabla1[[#This Row],[Precio Unitario (USD)]]</f>
        <v>895.57</v>
      </c>
      <c r="I482" s="21">
        <v>7.93</v>
      </c>
      <c r="J482" s="5">
        <f t="shared" si="23"/>
        <v>7101.8701000000001</v>
      </c>
      <c r="K482" t="str">
        <f>IF(Tabla1[[#This Row],[Venta Total (Q)]] = 0, "Sin ventas", "Con ventas")</f>
        <v>Con ventas</v>
      </c>
      <c r="L482" s="20">
        <f t="shared" si="21"/>
        <v>48.222999999999999</v>
      </c>
      <c r="M482" s="20">
        <f t="shared" si="22"/>
        <v>626.899</v>
      </c>
      <c r="N482" s="20">
        <f>Tabla1[[#This Row],[Venta Total (USD)]] - Tabla1[[#This Row],[Costo Total (USD)]]</f>
        <v>268.67100000000005</v>
      </c>
    </row>
    <row r="483" spans="1:14" x14ac:dyDescent="0.25">
      <c r="A483" t="s">
        <v>20</v>
      </c>
      <c r="B483" t="s">
        <v>21</v>
      </c>
      <c r="C483" t="s">
        <v>24</v>
      </c>
      <c r="D483">
        <v>2024</v>
      </c>
      <c r="E483">
        <v>10</v>
      </c>
      <c r="F483">
        <v>6</v>
      </c>
      <c r="G483" s="20">
        <v>18.73</v>
      </c>
      <c r="H483" s="20">
        <f>Tabla1[[#This Row],[Cantidad Vendida]]*Tabla1[[#This Row],[Precio Unitario (USD)]]</f>
        <v>112.38</v>
      </c>
      <c r="I483" s="21">
        <v>7.73</v>
      </c>
      <c r="J483" s="5">
        <f t="shared" si="23"/>
        <v>868.69740000000002</v>
      </c>
      <c r="K483" t="str">
        <f>IF(Tabla1[[#This Row],[Venta Total (Q)]] = 0, "Sin ventas", "Con ventas")</f>
        <v>Con ventas</v>
      </c>
      <c r="L483" s="20">
        <f t="shared" si="21"/>
        <v>13.110999999999999</v>
      </c>
      <c r="M483" s="20">
        <f t="shared" si="22"/>
        <v>78.665999999999997</v>
      </c>
      <c r="N483" s="20">
        <f>Tabla1[[#This Row],[Venta Total (USD)]] - Tabla1[[#This Row],[Costo Total (USD)]]</f>
        <v>33.713999999999999</v>
      </c>
    </row>
    <row r="484" spans="1:14" x14ac:dyDescent="0.25">
      <c r="A484" t="s">
        <v>16</v>
      </c>
      <c r="B484" t="s">
        <v>28</v>
      </c>
      <c r="C484" t="s">
        <v>29</v>
      </c>
      <c r="D484">
        <v>2025</v>
      </c>
      <c r="E484">
        <v>1</v>
      </c>
      <c r="F484">
        <v>17</v>
      </c>
      <c r="G484" s="20">
        <v>33.299999999999997</v>
      </c>
      <c r="H484" s="20">
        <f>Tabla1[[#This Row],[Cantidad Vendida]]*Tabla1[[#This Row],[Precio Unitario (USD)]]</f>
        <v>566.09999999999991</v>
      </c>
      <c r="I484" s="21">
        <v>8.0399999999999991</v>
      </c>
      <c r="J484" s="5">
        <f t="shared" si="23"/>
        <v>4551.4439999999986</v>
      </c>
      <c r="K484" t="str">
        <f>IF(Tabla1[[#This Row],[Venta Total (Q)]] = 0, "Sin ventas", "Con ventas")</f>
        <v>Con ventas</v>
      </c>
      <c r="L484" s="20">
        <f t="shared" si="21"/>
        <v>23.309999999999995</v>
      </c>
      <c r="M484" s="20">
        <f t="shared" si="22"/>
        <v>396.26999999999992</v>
      </c>
      <c r="N484" s="20">
        <f>Tabla1[[#This Row],[Venta Total (USD)]] - Tabla1[[#This Row],[Costo Total (USD)]]</f>
        <v>169.82999999999998</v>
      </c>
    </row>
    <row r="485" spans="1:14" x14ac:dyDescent="0.25">
      <c r="A485" t="s">
        <v>20</v>
      </c>
      <c r="B485" t="s">
        <v>28</v>
      </c>
      <c r="C485" t="s">
        <v>39</v>
      </c>
      <c r="D485">
        <v>2022</v>
      </c>
      <c r="E485">
        <v>4</v>
      </c>
      <c r="F485">
        <v>5</v>
      </c>
      <c r="G485" s="20">
        <v>266.23</v>
      </c>
      <c r="H485" s="20">
        <f>Tabla1[[#This Row],[Cantidad Vendida]]*Tabla1[[#This Row],[Precio Unitario (USD)]]</f>
        <v>1331.15</v>
      </c>
      <c r="I485" s="21">
        <v>8.2899999999999991</v>
      </c>
      <c r="J485" s="5">
        <f t="shared" si="23"/>
        <v>11035.2335</v>
      </c>
      <c r="K485" t="str">
        <f>IF(Tabla1[[#This Row],[Venta Total (Q)]] = 0, "Sin ventas", "Con ventas")</f>
        <v>Con ventas</v>
      </c>
      <c r="L485" s="20">
        <f t="shared" si="21"/>
        <v>186.36099999999999</v>
      </c>
      <c r="M485" s="20">
        <f t="shared" si="22"/>
        <v>931.80499999999995</v>
      </c>
      <c r="N485" s="20">
        <f>Tabla1[[#This Row],[Venta Total (USD)]] - Tabla1[[#This Row],[Costo Total (USD)]]</f>
        <v>399.34500000000014</v>
      </c>
    </row>
    <row r="486" spans="1:14" x14ac:dyDescent="0.25">
      <c r="A486" t="s">
        <v>20</v>
      </c>
      <c r="B486" t="s">
        <v>28</v>
      </c>
      <c r="C486" t="s">
        <v>29</v>
      </c>
      <c r="D486">
        <v>2025</v>
      </c>
      <c r="E486">
        <v>2</v>
      </c>
      <c r="F486">
        <v>18</v>
      </c>
      <c r="G486" s="20">
        <v>347</v>
      </c>
      <c r="H486" s="20">
        <f>Tabla1[[#This Row],[Cantidad Vendida]]*Tabla1[[#This Row],[Precio Unitario (USD)]]</f>
        <v>6246</v>
      </c>
      <c r="I486" s="21">
        <v>7.7</v>
      </c>
      <c r="J486" s="5">
        <f t="shared" si="23"/>
        <v>48094.200000000004</v>
      </c>
      <c r="K486" t="str">
        <f>IF(Tabla1[[#This Row],[Venta Total (Q)]] = 0, "Sin ventas", "Con ventas")</f>
        <v>Con ventas</v>
      </c>
      <c r="L486" s="20">
        <f t="shared" si="21"/>
        <v>242.89999999999998</v>
      </c>
      <c r="M486" s="20">
        <f t="shared" si="22"/>
        <v>4372.2</v>
      </c>
      <c r="N486" s="20">
        <f>Tabla1[[#This Row],[Venta Total (USD)]] - Tabla1[[#This Row],[Costo Total (USD)]]</f>
        <v>1873.8000000000002</v>
      </c>
    </row>
    <row r="487" spans="1:14" x14ac:dyDescent="0.25">
      <c r="A487" t="s">
        <v>31</v>
      </c>
      <c r="B487" t="s">
        <v>13</v>
      </c>
      <c r="C487" t="s">
        <v>27</v>
      </c>
      <c r="D487">
        <v>2024</v>
      </c>
      <c r="E487">
        <v>6</v>
      </c>
      <c r="F487">
        <v>11</v>
      </c>
      <c r="G487" s="20">
        <v>51.91</v>
      </c>
      <c r="H487" s="20">
        <f>Tabla1[[#This Row],[Cantidad Vendida]]*Tabla1[[#This Row],[Precio Unitario (USD)]]</f>
        <v>571.01</v>
      </c>
      <c r="I487" s="21">
        <v>7.6</v>
      </c>
      <c r="J487" s="5">
        <f t="shared" si="23"/>
        <v>4339.6759999999995</v>
      </c>
      <c r="K487" t="str">
        <f>IF(Tabla1[[#This Row],[Venta Total (Q)]] = 0, "Sin ventas", "Con ventas")</f>
        <v>Con ventas</v>
      </c>
      <c r="L487" s="20">
        <f t="shared" si="21"/>
        <v>36.336999999999996</v>
      </c>
      <c r="M487" s="20">
        <f t="shared" si="22"/>
        <v>399.70699999999994</v>
      </c>
      <c r="N487" s="20">
        <f>Tabla1[[#This Row],[Venta Total (USD)]] - Tabla1[[#This Row],[Costo Total (USD)]]</f>
        <v>171.30300000000005</v>
      </c>
    </row>
    <row r="488" spans="1:14" x14ac:dyDescent="0.25">
      <c r="A488" t="s">
        <v>16</v>
      </c>
      <c r="B488" t="s">
        <v>21</v>
      </c>
      <c r="C488" t="s">
        <v>34</v>
      </c>
      <c r="D488">
        <v>2025</v>
      </c>
      <c r="E488">
        <v>8</v>
      </c>
      <c r="F488">
        <v>13</v>
      </c>
      <c r="G488" s="20">
        <v>326.25</v>
      </c>
      <c r="H488" s="20">
        <f>Tabla1[[#This Row],[Cantidad Vendida]]*Tabla1[[#This Row],[Precio Unitario (USD)]]</f>
        <v>4241.25</v>
      </c>
      <c r="I488" s="21">
        <v>7.81</v>
      </c>
      <c r="J488" s="5">
        <f t="shared" si="23"/>
        <v>33124.162499999999</v>
      </c>
      <c r="K488" t="str">
        <f>IF(Tabla1[[#This Row],[Venta Total (Q)]] = 0, "Sin ventas", "Con ventas")</f>
        <v>Con ventas</v>
      </c>
      <c r="L488" s="20">
        <f t="shared" si="21"/>
        <v>228.37499999999997</v>
      </c>
      <c r="M488" s="20">
        <f t="shared" si="22"/>
        <v>2968.8749999999995</v>
      </c>
      <c r="N488" s="20">
        <f>Tabla1[[#This Row],[Venta Total (USD)]] - Tabla1[[#This Row],[Costo Total (USD)]]</f>
        <v>1272.3750000000005</v>
      </c>
    </row>
    <row r="489" spans="1:14" x14ac:dyDescent="0.25">
      <c r="A489" t="s">
        <v>16</v>
      </c>
      <c r="B489" t="s">
        <v>28</v>
      </c>
      <c r="C489" t="s">
        <v>39</v>
      </c>
      <c r="D489">
        <v>2023</v>
      </c>
      <c r="E489">
        <v>7</v>
      </c>
      <c r="F489">
        <v>1</v>
      </c>
      <c r="G489" s="20">
        <v>13.29</v>
      </c>
      <c r="H489" s="20">
        <f>Tabla1[[#This Row],[Cantidad Vendida]]*Tabla1[[#This Row],[Precio Unitario (USD)]]</f>
        <v>13.29</v>
      </c>
      <c r="I489" s="21">
        <v>8.09</v>
      </c>
      <c r="J489" s="5">
        <f t="shared" si="23"/>
        <v>107.51609999999999</v>
      </c>
      <c r="K489" t="str">
        <f>IF(Tabla1[[#This Row],[Venta Total (Q)]] = 0, "Sin ventas", "Con ventas")</f>
        <v>Con ventas</v>
      </c>
      <c r="L489" s="20">
        <f t="shared" si="21"/>
        <v>9.302999999999999</v>
      </c>
      <c r="M489" s="20">
        <f t="shared" si="22"/>
        <v>9.302999999999999</v>
      </c>
      <c r="N489" s="20">
        <f>Tabla1[[#This Row],[Venta Total (USD)]] - Tabla1[[#This Row],[Costo Total (USD)]]</f>
        <v>3.9870000000000001</v>
      </c>
    </row>
    <row r="490" spans="1:14" x14ac:dyDescent="0.25">
      <c r="A490" t="s">
        <v>35</v>
      </c>
      <c r="B490" t="s">
        <v>13</v>
      </c>
      <c r="C490" t="s">
        <v>14</v>
      </c>
      <c r="D490">
        <v>2024</v>
      </c>
      <c r="E490">
        <v>4</v>
      </c>
      <c r="F490">
        <v>4</v>
      </c>
      <c r="G490" s="20">
        <v>210.85</v>
      </c>
      <c r="H490" s="20">
        <f>Tabla1[[#This Row],[Cantidad Vendida]]*Tabla1[[#This Row],[Precio Unitario (USD)]]</f>
        <v>843.4</v>
      </c>
      <c r="I490" s="21">
        <v>7.73</v>
      </c>
      <c r="J490" s="5">
        <f t="shared" si="23"/>
        <v>6519.482</v>
      </c>
      <c r="K490" t="str">
        <f>IF(Tabla1[[#This Row],[Venta Total (Q)]] = 0, "Sin ventas", "Con ventas")</f>
        <v>Con ventas</v>
      </c>
      <c r="L490" s="20">
        <f t="shared" si="21"/>
        <v>147.595</v>
      </c>
      <c r="M490" s="20">
        <f t="shared" si="22"/>
        <v>590.38</v>
      </c>
      <c r="N490" s="20">
        <f>Tabla1[[#This Row],[Venta Total (USD)]] - Tabla1[[#This Row],[Costo Total (USD)]]</f>
        <v>253.01999999999998</v>
      </c>
    </row>
    <row r="491" spans="1:14" x14ac:dyDescent="0.25">
      <c r="A491" t="s">
        <v>20</v>
      </c>
      <c r="B491" t="s">
        <v>11</v>
      </c>
      <c r="C491" t="s">
        <v>12</v>
      </c>
      <c r="D491">
        <v>2025</v>
      </c>
      <c r="E491">
        <v>3</v>
      </c>
      <c r="F491">
        <v>18</v>
      </c>
      <c r="G491" s="20">
        <v>432.6</v>
      </c>
      <c r="H491" s="20">
        <f>Tabla1[[#This Row],[Cantidad Vendida]]*Tabla1[[#This Row],[Precio Unitario (USD)]]</f>
        <v>7786.8</v>
      </c>
      <c r="I491" s="21">
        <v>7.51</v>
      </c>
      <c r="J491" s="5">
        <f t="shared" si="23"/>
        <v>58478.868000000002</v>
      </c>
      <c r="K491" t="str">
        <f>IF(Tabla1[[#This Row],[Venta Total (Q)]] = 0, "Sin ventas", "Con ventas")</f>
        <v>Con ventas</v>
      </c>
      <c r="L491" s="20">
        <f t="shared" si="21"/>
        <v>302.82</v>
      </c>
      <c r="M491" s="20">
        <f t="shared" si="22"/>
        <v>5450.76</v>
      </c>
      <c r="N491" s="20">
        <f>Tabla1[[#This Row],[Venta Total (USD)]] - Tabla1[[#This Row],[Costo Total (USD)]]</f>
        <v>2336.04</v>
      </c>
    </row>
    <row r="492" spans="1:14" x14ac:dyDescent="0.25">
      <c r="A492" t="s">
        <v>15</v>
      </c>
      <c r="B492" t="s">
        <v>17</v>
      </c>
      <c r="C492" t="s">
        <v>33</v>
      </c>
      <c r="D492">
        <v>2022</v>
      </c>
      <c r="E492">
        <v>8</v>
      </c>
      <c r="F492">
        <v>14</v>
      </c>
      <c r="G492" s="20">
        <v>353.55</v>
      </c>
      <c r="H492" s="20">
        <f>Tabla1[[#This Row],[Cantidad Vendida]]*Tabla1[[#This Row],[Precio Unitario (USD)]]</f>
        <v>4949.7</v>
      </c>
      <c r="I492" s="21">
        <v>7.61</v>
      </c>
      <c r="J492" s="5">
        <f t="shared" si="23"/>
        <v>37667.216999999997</v>
      </c>
      <c r="K492" t="str">
        <f>IF(Tabla1[[#This Row],[Venta Total (Q)]] = 0, "Sin ventas", "Con ventas")</f>
        <v>Con ventas</v>
      </c>
      <c r="L492" s="20">
        <f t="shared" si="21"/>
        <v>247.48499999999999</v>
      </c>
      <c r="M492" s="20">
        <f t="shared" si="22"/>
        <v>3464.79</v>
      </c>
      <c r="N492" s="20">
        <f>Tabla1[[#This Row],[Venta Total (USD)]] - Tabla1[[#This Row],[Costo Total (USD)]]</f>
        <v>1484.9099999999999</v>
      </c>
    </row>
    <row r="493" spans="1:14" x14ac:dyDescent="0.25">
      <c r="A493" t="s">
        <v>35</v>
      </c>
      <c r="B493" t="s">
        <v>11</v>
      </c>
      <c r="C493" t="s">
        <v>12</v>
      </c>
      <c r="D493">
        <v>2022</v>
      </c>
      <c r="E493">
        <v>11</v>
      </c>
      <c r="F493">
        <v>15</v>
      </c>
      <c r="G493" s="20">
        <v>206.07</v>
      </c>
      <c r="H493" s="20">
        <f>Tabla1[[#This Row],[Cantidad Vendida]]*Tabla1[[#This Row],[Precio Unitario (USD)]]</f>
        <v>3091.0499999999997</v>
      </c>
      <c r="I493" s="21">
        <v>8.35</v>
      </c>
      <c r="J493" s="5">
        <f t="shared" si="23"/>
        <v>25810.267499999998</v>
      </c>
      <c r="K493" t="str">
        <f>IF(Tabla1[[#This Row],[Venta Total (Q)]] = 0, "Sin ventas", "Con ventas")</f>
        <v>Con ventas</v>
      </c>
      <c r="L493" s="20">
        <f t="shared" si="21"/>
        <v>144.249</v>
      </c>
      <c r="M493" s="20">
        <f t="shared" si="22"/>
        <v>2163.7350000000001</v>
      </c>
      <c r="N493" s="20">
        <f>Tabla1[[#This Row],[Venta Total (USD)]] - Tabla1[[#This Row],[Costo Total (USD)]]</f>
        <v>927.3149999999996</v>
      </c>
    </row>
    <row r="494" spans="1:14" x14ac:dyDescent="0.25">
      <c r="A494" t="s">
        <v>16</v>
      </c>
      <c r="B494" t="s">
        <v>11</v>
      </c>
      <c r="C494" t="s">
        <v>25</v>
      </c>
      <c r="D494">
        <v>2025</v>
      </c>
      <c r="E494">
        <v>9</v>
      </c>
      <c r="F494">
        <v>8</v>
      </c>
      <c r="G494" s="20">
        <v>365.7</v>
      </c>
      <c r="H494" s="20">
        <f>Tabla1[[#This Row],[Cantidad Vendida]]*Tabla1[[#This Row],[Precio Unitario (USD)]]</f>
        <v>2925.6</v>
      </c>
      <c r="I494" s="21">
        <v>8.0500000000000007</v>
      </c>
      <c r="J494" s="5">
        <f t="shared" si="23"/>
        <v>23551.08</v>
      </c>
      <c r="K494" t="str">
        <f>IF(Tabla1[[#This Row],[Venta Total (Q)]] = 0, "Sin ventas", "Con ventas")</f>
        <v>Con ventas</v>
      </c>
      <c r="L494" s="20">
        <f t="shared" si="21"/>
        <v>255.98999999999998</v>
      </c>
      <c r="M494" s="20">
        <f t="shared" si="22"/>
        <v>2047.9199999999998</v>
      </c>
      <c r="N494" s="20">
        <f>Tabla1[[#This Row],[Venta Total (USD)]] - Tabla1[[#This Row],[Costo Total (USD)]]</f>
        <v>877.68000000000006</v>
      </c>
    </row>
    <row r="495" spans="1:14" x14ac:dyDescent="0.25">
      <c r="A495" t="s">
        <v>10</v>
      </c>
      <c r="B495" t="s">
        <v>17</v>
      </c>
      <c r="C495" t="s">
        <v>26</v>
      </c>
      <c r="D495">
        <v>2025</v>
      </c>
      <c r="E495">
        <v>11</v>
      </c>
      <c r="F495">
        <v>12</v>
      </c>
      <c r="G495" s="20">
        <v>469.14</v>
      </c>
      <c r="H495" s="20">
        <f>Tabla1[[#This Row],[Cantidad Vendida]]*Tabla1[[#This Row],[Precio Unitario (USD)]]</f>
        <v>5629.68</v>
      </c>
      <c r="I495" s="21">
        <v>8.4600000000000009</v>
      </c>
      <c r="J495" s="5">
        <f t="shared" si="23"/>
        <v>47627.092800000006</v>
      </c>
      <c r="K495" t="str">
        <f>IF(Tabla1[[#This Row],[Venta Total (Q)]] = 0, "Sin ventas", "Con ventas")</f>
        <v>Con ventas</v>
      </c>
      <c r="L495" s="20">
        <f t="shared" si="21"/>
        <v>328.39799999999997</v>
      </c>
      <c r="M495" s="20">
        <f t="shared" si="22"/>
        <v>3940.7759999999998</v>
      </c>
      <c r="N495" s="20">
        <f>Tabla1[[#This Row],[Venta Total (USD)]] - Tabla1[[#This Row],[Costo Total (USD)]]</f>
        <v>1688.9040000000005</v>
      </c>
    </row>
    <row r="496" spans="1:14" x14ac:dyDescent="0.25">
      <c r="A496" t="s">
        <v>10</v>
      </c>
      <c r="B496" t="s">
        <v>17</v>
      </c>
      <c r="C496" t="s">
        <v>26</v>
      </c>
      <c r="D496">
        <v>2025</v>
      </c>
      <c r="E496">
        <v>5</v>
      </c>
      <c r="F496">
        <v>6</v>
      </c>
      <c r="G496" s="20">
        <v>22.92</v>
      </c>
      <c r="H496" s="20">
        <f>Tabla1[[#This Row],[Cantidad Vendida]]*Tabla1[[#This Row],[Precio Unitario (USD)]]</f>
        <v>137.52000000000001</v>
      </c>
      <c r="I496" s="21">
        <v>8.06</v>
      </c>
      <c r="J496" s="5">
        <f t="shared" si="23"/>
        <v>1108.4112000000002</v>
      </c>
      <c r="K496" t="str">
        <f>IF(Tabla1[[#This Row],[Venta Total (Q)]] = 0, "Sin ventas", "Con ventas")</f>
        <v>Con ventas</v>
      </c>
      <c r="L496" s="20">
        <f t="shared" si="21"/>
        <v>16.044</v>
      </c>
      <c r="M496" s="20">
        <f t="shared" si="22"/>
        <v>96.26400000000001</v>
      </c>
      <c r="N496" s="20">
        <f>Tabla1[[#This Row],[Venta Total (USD)]] - Tabla1[[#This Row],[Costo Total (USD)]]</f>
        <v>41.256</v>
      </c>
    </row>
    <row r="497" spans="1:14" x14ac:dyDescent="0.25">
      <c r="A497" t="s">
        <v>35</v>
      </c>
      <c r="B497" t="s">
        <v>17</v>
      </c>
      <c r="C497" t="s">
        <v>19</v>
      </c>
      <c r="D497">
        <v>2025</v>
      </c>
      <c r="E497">
        <v>11</v>
      </c>
      <c r="F497">
        <v>18</v>
      </c>
      <c r="G497" s="20">
        <v>488.06</v>
      </c>
      <c r="H497" s="20">
        <f>Tabla1[[#This Row],[Cantidad Vendida]]*Tabla1[[#This Row],[Precio Unitario (USD)]]</f>
        <v>8785.08</v>
      </c>
      <c r="I497" s="21">
        <v>8.41</v>
      </c>
      <c r="J497" s="5">
        <f t="shared" si="23"/>
        <v>73882.522800000006</v>
      </c>
      <c r="K497" t="str">
        <f>IF(Tabla1[[#This Row],[Venta Total (Q)]] = 0, "Sin ventas", "Con ventas")</f>
        <v>Con ventas</v>
      </c>
      <c r="L497" s="20">
        <f t="shared" si="21"/>
        <v>341.642</v>
      </c>
      <c r="M497" s="20">
        <f t="shared" si="22"/>
        <v>6149.5559999999996</v>
      </c>
      <c r="N497" s="20">
        <f>Tabla1[[#This Row],[Venta Total (USD)]] - Tabla1[[#This Row],[Costo Total (USD)]]</f>
        <v>2635.5240000000003</v>
      </c>
    </row>
    <row r="498" spans="1:14" x14ac:dyDescent="0.25">
      <c r="A498" t="s">
        <v>15</v>
      </c>
      <c r="B498" t="s">
        <v>28</v>
      </c>
      <c r="C498" t="s">
        <v>38</v>
      </c>
      <c r="D498">
        <v>2022</v>
      </c>
      <c r="E498">
        <v>7</v>
      </c>
      <c r="F498">
        <v>5</v>
      </c>
      <c r="G498" s="20">
        <v>258.66000000000003</v>
      </c>
      <c r="H498" s="20">
        <f>Tabla1[[#This Row],[Cantidad Vendida]]*Tabla1[[#This Row],[Precio Unitario (USD)]]</f>
        <v>1293.3000000000002</v>
      </c>
      <c r="I498" s="21">
        <v>7.91</v>
      </c>
      <c r="J498" s="5">
        <f t="shared" si="23"/>
        <v>10230.003000000002</v>
      </c>
      <c r="K498" t="str">
        <f>IF(Tabla1[[#This Row],[Venta Total (Q)]] = 0, "Sin ventas", "Con ventas")</f>
        <v>Con ventas</v>
      </c>
      <c r="L498" s="20">
        <f t="shared" si="21"/>
        <v>181.06200000000001</v>
      </c>
      <c r="M498" s="20">
        <f t="shared" si="22"/>
        <v>905.31000000000006</v>
      </c>
      <c r="N498" s="20">
        <f>Tabla1[[#This Row],[Venta Total (USD)]] - Tabla1[[#This Row],[Costo Total (USD)]]</f>
        <v>387.99000000000012</v>
      </c>
    </row>
    <row r="499" spans="1:14" x14ac:dyDescent="0.25">
      <c r="A499" t="s">
        <v>31</v>
      </c>
      <c r="B499" t="s">
        <v>21</v>
      </c>
      <c r="C499" t="s">
        <v>32</v>
      </c>
      <c r="D499">
        <v>2024</v>
      </c>
      <c r="E499">
        <v>4</v>
      </c>
      <c r="F499">
        <v>11</v>
      </c>
      <c r="G499" s="20">
        <v>273.88</v>
      </c>
      <c r="H499" s="20">
        <f>Tabla1[[#This Row],[Cantidad Vendida]]*Tabla1[[#This Row],[Precio Unitario (USD)]]</f>
        <v>3012.68</v>
      </c>
      <c r="I499" s="21">
        <v>8.16</v>
      </c>
      <c r="J499" s="5">
        <f t="shared" si="23"/>
        <v>24583.468799999999</v>
      </c>
      <c r="K499" t="str">
        <f>IF(Tabla1[[#This Row],[Venta Total (Q)]] = 0, "Sin ventas", "Con ventas")</f>
        <v>Con ventas</v>
      </c>
      <c r="L499" s="20">
        <f t="shared" si="21"/>
        <v>191.71599999999998</v>
      </c>
      <c r="M499" s="20">
        <f t="shared" si="22"/>
        <v>2108.8759999999997</v>
      </c>
      <c r="N499" s="20">
        <f>Tabla1[[#This Row],[Venta Total (USD)]] - Tabla1[[#This Row],[Costo Total (USD)]]</f>
        <v>903.80400000000009</v>
      </c>
    </row>
    <row r="500" spans="1:14" x14ac:dyDescent="0.25">
      <c r="A500" t="s">
        <v>31</v>
      </c>
      <c r="B500" t="s">
        <v>17</v>
      </c>
      <c r="C500" t="s">
        <v>26</v>
      </c>
      <c r="D500">
        <v>2025</v>
      </c>
      <c r="E500">
        <v>3</v>
      </c>
      <c r="F500">
        <v>6</v>
      </c>
      <c r="G500" s="20">
        <v>84.96</v>
      </c>
      <c r="H500" s="20">
        <f>Tabla1[[#This Row],[Cantidad Vendida]]*Tabla1[[#This Row],[Precio Unitario (USD)]]</f>
        <v>509.76</v>
      </c>
      <c r="I500" s="21">
        <v>7.73</v>
      </c>
      <c r="J500" s="5">
        <f t="shared" si="23"/>
        <v>3940.4448000000002</v>
      </c>
      <c r="K500" t="str">
        <f>IF(Tabla1[[#This Row],[Venta Total (Q)]] = 0, "Sin ventas", "Con ventas")</f>
        <v>Con ventas</v>
      </c>
      <c r="L500" s="20">
        <f t="shared" si="21"/>
        <v>59.471999999999994</v>
      </c>
      <c r="M500" s="20">
        <f t="shared" si="22"/>
        <v>356.83199999999999</v>
      </c>
      <c r="N500" s="20">
        <f>Tabla1[[#This Row],[Venta Total (USD)]] - Tabla1[[#This Row],[Costo Total (USD)]]</f>
        <v>152.928</v>
      </c>
    </row>
    <row r="501" spans="1:14" x14ac:dyDescent="0.25">
      <c r="A501" t="s">
        <v>35</v>
      </c>
      <c r="B501" t="s">
        <v>21</v>
      </c>
      <c r="C501" t="s">
        <v>32</v>
      </c>
      <c r="D501">
        <v>2023</v>
      </c>
      <c r="E501">
        <v>3</v>
      </c>
      <c r="F501">
        <v>8</v>
      </c>
      <c r="G501" s="20">
        <v>46.46</v>
      </c>
      <c r="H501" s="20">
        <f>Tabla1[[#This Row],[Cantidad Vendida]]*Tabla1[[#This Row],[Precio Unitario (USD)]]</f>
        <v>371.68</v>
      </c>
      <c r="I501" s="21">
        <v>7.87</v>
      </c>
      <c r="J501" s="5">
        <f t="shared" si="23"/>
        <v>2925.1215999999999</v>
      </c>
      <c r="K501" t="str">
        <f>IF(Tabla1[[#This Row],[Venta Total (Q)]] = 0, "Sin ventas", "Con ventas")</f>
        <v>Con ventas</v>
      </c>
      <c r="L501" s="20">
        <f t="shared" si="21"/>
        <v>32.521999999999998</v>
      </c>
      <c r="M501" s="20">
        <f t="shared" si="22"/>
        <v>260.17599999999999</v>
      </c>
      <c r="N501" s="20">
        <f>Tabla1[[#This Row],[Venta Total (USD)]] - Tabla1[[#This Row],[Costo Total (USD)]]</f>
        <v>111.50400000000002</v>
      </c>
    </row>
  </sheetData>
  <autoFilter ref="P1" xr:uid="{00000000-0001-0000-0000-000000000000}"/>
  <hyperlinks>
    <hyperlink ref="P1" location="Menú!A1" display="Regresar" xr:uid="{7BF4F827-A0F9-47E2-A93B-0ED812DC3BEB}"/>
  </hyperlink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34E2C-73B1-4E3B-932C-D29FF69F7E48}">
  <sheetPr codeName="Hoja3"/>
  <dimension ref="A1:O17"/>
  <sheetViews>
    <sheetView workbookViewId="0">
      <selection activeCell="A29" sqref="A29"/>
    </sheetView>
  </sheetViews>
  <sheetFormatPr baseColWidth="10" defaultRowHeight="15" x14ac:dyDescent="0.25"/>
  <cols>
    <col min="1" max="1" width="22.7109375" bestFit="1" customWidth="1"/>
    <col min="2" max="5" width="13.140625" bestFit="1" customWidth="1"/>
    <col min="6" max="6" width="14.140625" bestFit="1" customWidth="1"/>
    <col min="9" max="9" width="13.85546875" bestFit="1" customWidth="1"/>
    <col min="10" max="10" width="18" bestFit="1" customWidth="1"/>
    <col min="11" max="11" width="18.85546875" bestFit="1" customWidth="1"/>
  </cols>
  <sheetData>
    <row r="1" spans="1:15" x14ac:dyDescent="0.25">
      <c r="H1" s="25" t="s">
        <v>72</v>
      </c>
      <c r="I1" s="25"/>
      <c r="J1" s="25"/>
      <c r="K1" s="25"/>
      <c r="L1" s="25"/>
      <c r="O1" s="15" t="s">
        <v>71</v>
      </c>
    </row>
    <row r="2" spans="1:15" x14ac:dyDescent="0.25">
      <c r="H2" s="19" t="s">
        <v>3</v>
      </c>
      <c r="I2" s="19" t="s">
        <v>73</v>
      </c>
      <c r="J2" s="19" t="s">
        <v>58</v>
      </c>
      <c r="K2" s="19" t="s">
        <v>59</v>
      </c>
      <c r="L2" s="19" t="s">
        <v>60</v>
      </c>
    </row>
    <row r="3" spans="1:15" x14ac:dyDescent="0.25">
      <c r="A3" s="2" t="s">
        <v>55</v>
      </c>
      <c r="B3" s="2" t="s">
        <v>3</v>
      </c>
      <c r="H3" s="6">
        <v>2022</v>
      </c>
      <c r="I3" s="7">
        <f>SUMIF(Tabla1[Año],H3,Tabla1[Venta Total (Q)])</f>
        <v>2504992.9670000006</v>
      </c>
      <c r="J3" s="7">
        <f>AVERAGEIF(Tabla1[Año],H3,Tabla1[Venta Total (Q)])</f>
        <v>20039.943736000005</v>
      </c>
      <c r="K3" s="6" t="str" cm="1">
        <f t="array" ref="K3">CHOOSE(INDEX(Tabla1[Mes], MATCH(MAX(IF(Tabla1[Año]=H3, Tabla1[Venta Total (Q)])), Tabla1[Venta Total (Q)], 0)),"Enero","Febrero","Marzo","Abril","Mayo","Junio","Julio","Agosto","Septiembre","Octubre","Noviembre","Diciembre")</f>
        <v>Agosto</v>
      </c>
      <c r="L3" s="7" cm="1">
        <f t="array" ref="L3">INDEX(Tabla1[Venta Total (Q)], MATCH(MAX(IF(Tabla1[Año]=H3, Tabla1[Venta Total (Q)])), Tabla1[Venta Total (Q)], 0))</f>
        <v>65163.923999999999</v>
      </c>
    </row>
    <row r="4" spans="1:15" x14ac:dyDescent="0.25">
      <c r="A4" s="2" t="s">
        <v>52</v>
      </c>
      <c r="B4" s="5">
        <v>2022</v>
      </c>
      <c r="C4" s="5">
        <v>2023</v>
      </c>
      <c r="D4" s="5">
        <v>2024</v>
      </c>
      <c r="E4" s="5">
        <v>2025</v>
      </c>
      <c r="F4" s="5" t="s">
        <v>53</v>
      </c>
      <c r="H4" s="6">
        <v>2023</v>
      </c>
      <c r="I4" s="7">
        <f>SUMIF(Tabla1[Año],H4,Tabla1[Venta Total (Q)])</f>
        <v>2823739.7508</v>
      </c>
      <c r="J4" s="7">
        <f>AVERAGEIF(Tabla1[Año],H4,Tabla1[Venta Total (Q)])</f>
        <v>22060.466803125</v>
      </c>
      <c r="K4" s="6" t="str" cm="1">
        <f t="array" ref="K4">CHOOSE(INDEX(Tabla1[Mes], MATCH(MAX(IF(Tabla1[Año]=H4, Tabla1[Venta Total (Q)])), Tabla1[Venta Total (Q)], 0)),"Enero","Febrero","Marzo","Abril","Mayo","Junio","Julio","Agosto","Septiembre","Octubre","Noviembre","Diciembre")</f>
        <v>Octubre</v>
      </c>
      <c r="L4" s="7" cm="1">
        <f t="array" ref="L4">INDEX(Tabla1[Venta Total (Q)], MATCH(MAX(IF(Tabla1[Año]=H4, Tabla1[Venta Total (Q)])), Tabla1[Venta Total (Q)], 0))</f>
        <v>71963.459999999992</v>
      </c>
    </row>
    <row r="5" spans="1:15" x14ac:dyDescent="0.25">
      <c r="A5" s="3">
        <v>1</v>
      </c>
      <c r="B5" s="5">
        <v>185917.43</v>
      </c>
      <c r="C5" s="5">
        <v>197525.17000000004</v>
      </c>
      <c r="D5" s="5">
        <v>178914.78000000003</v>
      </c>
      <c r="E5" s="5">
        <v>137478.28999999998</v>
      </c>
      <c r="F5" s="5">
        <v>699835.67000000016</v>
      </c>
      <c r="H5" s="6">
        <v>2024</v>
      </c>
      <c r="I5" s="7">
        <f>SUMIF(Tabla1[Año],H5,Tabla1[Venta Total (Q)])</f>
        <v>2468654.1182999997</v>
      </c>
      <c r="J5" s="7">
        <f>AVERAGEIF(Tabla1[Año],H5,Tabla1[Venta Total (Q)])</f>
        <v>21466.55755043478</v>
      </c>
      <c r="K5" s="6" t="str" cm="1">
        <f t="array" ref="K5">CHOOSE(INDEX(Tabla1[Mes], MATCH(MAX(IF(Tabla1[Año]=H5, Tabla1[Venta Total (Q)])), Tabla1[Venta Total (Q)], 0)),"Enero","Febrero","Marzo","Abril","Mayo","Junio","Julio","Agosto","Septiembre","Octubre","Noviembre","Diciembre")</f>
        <v>Agosto</v>
      </c>
      <c r="L5" s="7" cm="1">
        <f t="array" ref="L5">INDEX(Tabla1[Venta Total (Q)], MATCH(MAX(IF(Tabla1[Año]=H5, Tabla1[Venta Total (Q)])), Tabla1[Venta Total (Q)], 0))</f>
        <v>73844.697</v>
      </c>
    </row>
    <row r="6" spans="1:15" x14ac:dyDescent="0.25">
      <c r="A6" s="3">
        <v>2</v>
      </c>
      <c r="B6" s="5">
        <v>230456.91</v>
      </c>
      <c r="C6" s="5">
        <v>165512.96999999997</v>
      </c>
      <c r="D6" s="5">
        <v>98526.9</v>
      </c>
      <c r="E6" s="5">
        <v>288885.32</v>
      </c>
      <c r="F6" s="5">
        <v>783382.10000000009</v>
      </c>
      <c r="H6" s="6">
        <v>2025</v>
      </c>
      <c r="I6" s="7">
        <f>SUMIF(Tabla1[Año],H6,Tabla1[Venta Total (Q)])</f>
        <v>2860153.0872000004</v>
      </c>
      <c r="J6" s="7">
        <f>AVERAGEIF(Tabla1[Año],H6,Tabla1[Venta Total (Q)])</f>
        <v>21667.826418181823</v>
      </c>
      <c r="K6" s="6" t="str" cm="1">
        <f t="array" ref="K6">CHOOSE(INDEX(Tabla1[Mes], MATCH(MAX(IF(Tabla1[Año]=H6, Tabla1[Venta Total (Q)])), Tabla1[Venta Total (Q)], 0)),"Enero","Febrero","Marzo","Abril","Mayo","Junio","Julio","Agosto","Septiembre","Octubre","Noviembre","Diciembre")</f>
        <v>Noviembre</v>
      </c>
      <c r="L6" s="7" cm="1">
        <f t="array" ref="L6">INDEX(Tabla1[Venta Total (Q)], MATCH(MAX(IF(Tabla1[Año]=H6, Tabla1[Venta Total (Q)])), Tabla1[Venta Total (Q)], 0))</f>
        <v>73882.522800000006</v>
      </c>
    </row>
    <row r="7" spans="1:15" x14ac:dyDescent="0.25">
      <c r="A7" s="3">
        <v>3</v>
      </c>
      <c r="B7" s="5">
        <v>98908.180000000008</v>
      </c>
      <c r="C7" s="5">
        <v>198666.89</v>
      </c>
      <c r="D7" s="5">
        <v>234298.52</v>
      </c>
      <c r="E7" s="5">
        <v>191825.25</v>
      </c>
      <c r="F7" s="5">
        <v>723698.84</v>
      </c>
    </row>
    <row r="8" spans="1:15" x14ac:dyDescent="0.25">
      <c r="A8" s="3">
        <v>4</v>
      </c>
      <c r="B8" s="5">
        <v>67800.08</v>
      </c>
      <c r="C8" s="5">
        <v>269366.5</v>
      </c>
      <c r="D8" s="5">
        <v>192798.27000000002</v>
      </c>
      <c r="E8" s="5">
        <v>45055.19</v>
      </c>
      <c r="F8" s="5">
        <v>575020.04</v>
      </c>
      <c r="H8" s="23" t="s">
        <v>76</v>
      </c>
    </row>
    <row r="9" spans="1:15" x14ac:dyDescent="0.25">
      <c r="A9" s="3">
        <v>5</v>
      </c>
      <c r="B9" s="5">
        <v>186018.85</v>
      </c>
      <c r="C9" s="5">
        <v>218232.52999999997</v>
      </c>
      <c r="D9" s="5">
        <v>159082.67000000001</v>
      </c>
      <c r="E9" s="5">
        <v>221065.04</v>
      </c>
      <c r="F9" s="5">
        <v>784399.09000000008</v>
      </c>
      <c r="H9" t="str">
        <f>CONCATENATE("El mes con mayor volumen de ventas fue ",
INDEX(K3:K6, MATCH(MAX(L3:L6), L3:L6, 0)),
", alcanzando una venta máxima de ",
TEXT(MAX(L3:L6),"Q#,##0.00"), ".")</f>
        <v>El mes con mayor volumen de ventas fue Noviembre, alcanzando una venta máxima de Q73,882.52.</v>
      </c>
    </row>
    <row r="10" spans="1:15" x14ac:dyDescent="0.25">
      <c r="A10" s="3">
        <v>6</v>
      </c>
      <c r="B10" s="5">
        <v>213081.65</v>
      </c>
      <c r="C10" s="5">
        <v>277656.21000000008</v>
      </c>
      <c r="D10" s="5">
        <v>317380.49999999994</v>
      </c>
      <c r="E10" s="5">
        <v>297040.40999999997</v>
      </c>
      <c r="F10" s="5">
        <v>1105158.77</v>
      </c>
    </row>
    <row r="11" spans="1:15" x14ac:dyDescent="0.25">
      <c r="A11" s="3">
        <v>7</v>
      </c>
      <c r="B11" s="5">
        <v>194212.23</v>
      </c>
      <c r="C11" s="5">
        <v>225346.68</v>
      </c>
      <c r="D11" s="5">
        <v>266379.86</v>
      </c>
      <c r="E11" s="5">
        <v>256462.49000000002</v>
      </c>
      <c r="F11" s="5">
        <v>942401.26</v>
      </c>
    </row>
    <row r="12" spans="1:15" x14ac:dyDescent="0.25">
      <c r="A12" s="3">
        <v>8</v>
      </c>
      <c r="B12" s="5">
        <v>329099.48</v>
      </c>
      <c r="C12" s="5">
        <v>222786.01</v>
      </c>
      <c r="D12" s="5">
        <v>228957.71999999997</v>
      </c>
      <c r="E12" s="5">
        <v>99576.36</v>
      </c>
      <c r="F12" s="5">
        <v>880419.57</v>
      </c>
    </row>
    <row r="13" spans="1:15" x14ac:dyDescent="0.25">
      <c r="A13" s="3">
        <v>9</v>
      </c>
      <c r="B13" s="5">
        <v>262233.84999999998</v>
      </c>
      <c r="C13" s="5">
        <v>253012.71000000002</v>
      </c>
      <c r="D13" s="5">
        <v>251905.06</v>
      </c>
      <c r="E13" s="5">
        <v>486215.94000000006</v>
      </c>
      <c r="F13" s="5">
        <v>1253367.56</v>
      </c>
    </row>
    <row r="14" spans="1:15" x14ac:dyDescent="0.25">
      <c r="A14" s="3">
        <v>10</v>
      </c>
      <c r="B14" s="5">
        <v>145211.89999999997</v>
      </c>
      <c r="C14" s="5">
        <v>370992.41000000003</v>
      </c>
      <c r="D14" s="5">
        <v>206110.05000000002</v>
      </c>
      <c r="E14" s="5">
        <v>219270.34999999998</v>
      </c>
      <c r="F14" s="5">
        <v>941584.71</v>
      </c>
    </row>
    <row r="15" spans="1:15" x14ac:dyDescent="0.25">
      <c r="A15" s="3">
        <v>11</v>
      </c>
      <c r="B15" s="5">
        <v>211237.71</v>
      </c>
      <c r="C15" s="5">
        <v>216890.85000000003</v>
      </c>
      <c r="D15" s="5">
        <v>147230.03</v>
      </c>
      <c r="E15" s="5">
        <v>253960.12</v>
      </c>
      <c r="F15" s="5">
        <v>829318.71000000008</v>
      </c>
    </row>
    <row r="16" spans="1:15" x14ac:dyDescent="0.25">
      <c r="A16" s="3">
        <v>12</v>
      </c>
      <c r="B16" s="5">
        <v>380814.73</v>
      </c>
      <c r="C16" s="5">
        <v>204686.47</v>
      </c>
      <c r="D16" s="5">
        <v>187069.77000000002</v>
      </c>
      <c r="E16" s="5">
        <v>363318.33</v>
      </c>
      <c r="F16" s="5">
        <v>1135889.3</v>
      </c>
    </row>
    <row r="17" spans="1:6" x14ac:dyDescent="0.25">
      <c r="A17" s="3" t="s">
        <v>53</v>
      </c>
      <c r="B17" s="5">
        <v>2504993</v>
      </c>
      <c r="C17" s="5">
        <v>2820675.4000000004</v>
      </c>
      <c r="D17" s="5">
        <v>2468654.13</v>
      </c>
      <c r="E17" s="5">
        <v>2860153.0900000003</v>
      </c>
      <c r="F17" s="5">
        <v>10654475.620000001</v>
      </c>
    </row>
  </sheetData>
  <mergeCells count="1">
    <mergeCell ref="H1:L1"/>
  </mergeCells>
  <hyperlinks>
    <hyperlink ref="O1" location="Menú!A1" display="Regresar" xr:uid="{A8FA2A55-11CB-4B46-B266-18347BF8594B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D9"/>
  <sheetViews>
    <sheetView workbookViewId="0">
      <selection activeCell="D1" sqref="D1"/>
    </sheetView>
  </sheetViews>
  <sheetFormatPr baseColWidth="10" defaultColWidth="9.140625" defaultRowHeight="15" x14ac:dyDescent="0.25"/>
  <cols>
    <col min="1" max="1" width="34.5703125" bestFit="1" customWidth="1"/>
    <col min="2" max="2" width="20" customWidth="1"/>
  </cols>
  <sheetData>
    <row r="1" spans="1:4" x14ac:dyDescent="0.25">
      <c r="A1" s="18" t="s">
        <v>45</v>
      </c>
      <c r="B1" s="18" t="s">
        <v>46</v>
      </c>
      <c r="D1" s="15" t="s">
        <v>71</v>
      </c>
    </row>
    <row r="2" spans="1:4" x14ac:dyDescent="0.25">
      <c r="A2" s="6" t="s">
        <v>47</v>
      </c>
      <c r="B2" s="17">
        <f>SUM(Matriz!H2:H501)</f>
        <v>1331168.9799999995</v>
      </c>
    </row>
    <row r="3" spans="1:4" x14ac:dyDescent="0.25">
      <c r="A3" s="6" t="s">
        <v>48</v>
      </c>
      <c r="B3" s="7">
        <f>SUM(Matriz!J2:J501)</f>
        <v>10657539.923299998</v>
      </c>
    </row>
    <row r="4" spans="1:4" x14ac:dyDescent="0.25">
      <c r="A4" s="6" t="s">
        <v>49</v>
      </c>
      <c r="B4" s="17">
        <f>AVERAGE(Matriz!H2:H501)</f>
        <v>2662.3379599999989</v>
      </c>
    </row>
    <row r="5" spans="1:4" x14ac:dyDescent="0.25">
      <c r="A5" s="6" t="s">
        <v>50</v>
      </c>
      <c r="B5" s="16" t="str">
        <f>INDEX(Matriz!C2:C501,MATCH(MAX(Matriz!F2:F501),Matriz!F2:F501,0))</f>
        <v>Silla</v>
      </c>
    </row>
    <row r="6" spans="1:4" x14ac:dyDescent="0.25">
      <c r="A6" s="6" t="s">
        <v>51</v>
      </c>
      <c r="B6" s="6">
        <f>SUM(Matriz!F2:F501)</f>
        <v>5381</v>
      </c>
    </row>
    <row r="8" spans="1:4" x14ac:dyDescent="0.25">
      <c r="A8" s="23" t="s">
        <v>76</v>
      </c>
    </row>
    <row r="9" spans="1:4" x14ac:dyDescent="0.25">
      <c r="A9" t="str">
        <f>CONCATENATE("El producto más vendido fue ", B5, " con ", B6, " unidades vendidas, lo cual indica alta demanda en esa categoría.")</f>
        <v>El producto más vendido fue Silla con 5381 unidades vendidas, lo cual indica alta demanda en esa categoría.</v>
      </c>
    </row>
  </sheetData>
  <hyperlinks>
    <hyperlink ref="D1" location="Menú!A1" display="Regresar" xr:uid="{E91873FA-0CB4-4088-AF7A-F027A9F35F2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0C044-EEB3-4105-A891-0038F571EC78}">
  <sheetPr codeName="Hoja5"/>
  <dimension ref="A1:K14"/>
  <sheetViews>
    <sheetView workbookViewId="0">
      <selection activeCell="K1" sqref="K1"/>
    </sheetView>
  </sheetViews>
  <sheetFormatPr baseColWidth="10" defaultRowHeight="15" x14ac:dyDescent="0.25"/>
  <cols>
    <col min="1" max="1" width="22.7109375" bestFit="1" customWidth="1"/>
    <col min="2" max="2" width="22.42578125" bestFit="1" customWidth="1"/>
    <col min="3" max="3" width="10" bestFit="1" customWidth="1"/>
    <col min="4" max="5" width="11" bestFit="1" customWidth="1"/>
    <col min="6" max="6" width="12.5703125" bestFit="1" customWidth="1"/>
  </cols>
  <sheetData>
    <row r="1" spans="1:11" x14ac:dyDescent="0.25">
      <c r="A1" s="2" t="s">
        <v>57</v>
      </c>
      <c r="B1" t="s">
        <v>56</v>
      </c>
      <c r="K1" s="15" t="s">
        <v>71</v>
      </c>
    </row>
    <row r="3" spans="1:11" x14ac:dyDescent="0.25">
      <c r="A3" s="2" t="s">
        <v>55</v>
      </c>
      <c r="B3" s="2" t="s">
        <v>54</v>
      </c>
    </row>
    <row r="4" spans="1:11" x14ac:dyDescent="0.25">
      <c r="A4" s="2" t="s">
        <v>52</v>
      </c>
      <c r="B4">
        <v>2022</v>
      </c>
      <c r="C4">
        <v>2023</v>
      </c>
      <c r="D4">
        <v>2024</v>
      </c>
      <c r="E4">
        <v>2025</v>
      </c>
      <c r="F4" t="s">
        <v>53</v>
      </c>
    </row>
    <row r="5" spans="1:11" x14ac:dyDescent="0.25">
      <c r="A5" s="3" t="s">
        <v>16</v>
      </c>
      <c r="B5">
        <v>344730.01999999996</v>
      </c>
      <c r="C5">
        <v>444730.25</v>
      </c>
      <c r="D5">
        <v>328491.66000000003</v>
      </c>
      <c r="E5">
        <v>431401.68</v>
      </c>
      <c r="F5">
        <v>1549353.61</v>
      </c>
    </row>
    <row r="6" spans="1:11" x14ac:dyDescent="0.25">
      <c r="A6" s="3" t="s">
        <v>10</v>
      </c>
      <c r="B6">
        <v>460792.23000000004</v>
      </c>
      <c r="C6">
        <v>913761.7799999998</v>
      </c>
      <c r="D6">
        <v>379300.93999999994</v>
      </c>
      <c r="E6">
        <v>629291.92000000004</v>
      </c>
      <c r="F6">
        <v>2383146.8699999996</v>
      </c>
    </row>
    <row r="7" spans="1:11" x14ac:dyDescent="0.25">
      <c r="A7" s="3" t="s">
        <v>20</v>
      </c>
      <c r="B7">
        <v>334084.12999999995</v>
      </c>
      <c r="C7">
        <v>428452.64</v>
      </c>
      <c r="D7">
        <v>569222.2699999999</v>
      </c>
      <c r="E7">
        <v>423157.18</v>
      </c>
      <c r="F7">
        <v>1754916.22</v>
      </c>
    </row>
    <row r="8" spans="1:11" x14ac:dyDescent="0.25">
      <c r="A8" s="3" t="s">
        <v>15</v>
      </c>
      <c r="B8">
        <v>629734.54</v>
      </c>
      <c r="C8">
        <v>379347.37</v>
      </c>
      <c r="D8">
        <v>560579.70000000007</v>
      </c>
      <c r="E8">
        <v>729114.2300000001</v>
      </c>
      <c r="F8">
        <v>2298775.8400000003</v>
      </c>
    </row>
    <row r="9" spans="1:11" x14ac:dyDescent="0.25">
      <c r="A9" s="3" t="s">
        <v>35</v>
      </c>
      <c r="B9">
        <v>324931.83</v>
      </c>
      <c r="C9">
        <v>451810.22</v>
      </c>
      <c r="D9">
        <v>337510.13999999996</v>
      </c>
      <c r="E9">
        <v>341831.86</v>
      </c>
      <c r="F9">
        <v>1456084.0499999998</v>
      </c>
    </row>
    <row r="10" spans="1:11" x14ac:dyDescent="0.25">
      <c r="A10" s="3" t="s">
        <v>31</v>
      </c>
      <c r="B10">
        <v>410720.25</v>
      </c>
      <c r="C10">
        <v>202573.14</v>
      </c>
      <c r="D10">
        <v>293549.42000000004</v>
      </c>
      <c r="E10">
        <v>305356.21999999997</v>
      </c>
      <c r="F10">
        <v>1212199.03</v>
      </c>
    </row>
    <row r="11" spans="1:11" x14ac:dyDescent="0.25">
      <c r="A11" s="3" t="s">
        <v>53</v>
      </c>
      <c r="B11">
        <v>2504993</v>
      </c>
      <c r="C11">
        <v>2820675.4</v>
      </c>
      <c r="D11">
        <v>2468654.13</v>
      </c>
      <c r="E11">
        <v>2860153.09</v>
      </c>
      <c r="F11">
        <v>10654475.619999999</v>
      </c>
    </row>
    <row r="13" spans="1:11" x14ac:dyDescent="0.25">
      <c r="A13" s="23" t="s">
        <v>76</v>
      </c>
    </row>
    <row r="14" spans="1:11" x14ac:dyDescent="0.25">
      <c r="A14" t="str">
        <f>CONCATENATE("El país con mayores ventas en quetzales es ",
INDEX(A5:A10,
MATCH(MAX(td_PaisAnio!F5:F10), F5:F10, 0)),
" con un total de Q",
TEXT(MAX(F5:F10), "#,##0.00"), ".")</f>
        <v>El país con mayores ventas en quetzales es El Salvador con un total de Q2,383,146.87.</v>
      </c>
    </row>
  </sheetData>
  <hyperlinks>
    <hyperlink ref="K1" location="Menú!A1" display="Regresar" xr:uid="{CA6E7E7C-14D0-45FE-9FC5-D64D8F48F277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B9A11-FB56-45BE-957D-E015856451BE}">
  <sheetPr codeName="Hoja6"/>
  <dimension ref="A1:O26"/>
  <sheetViews>
    <sheetView workbookViewId="0">
      <selection activeCell="O1" sqref="O1:O5"/>
    </sheetView>
  </sheetViews>
  <sheetFormatPr baseColWidth="10" defaultRowHeight="15" x14ac:dyDescent="0.25"/>
  <cols>
    <col min="1" max="1" width="17.28515625" bestFit="1" customWidth="1"/>
    <col min="2" max="2" width="16.7109375" customWidth="1"/>
    <col min="3" max="3" width="16.85546875" customWidth="1"/>
    <col min="5" max="5" width="12.28515625" customWidth="1"/>
    <col min="8" max="8" width="14" bestFit="1" customWidth="1"/>
    <col min="9" max="10" width="0" hidden="1" customWidth="1"/>
    <col min="12" max="13" width="0" hidden="1" customWidth="1"/>
  </cols>
  <sheetData>
    <row r="1" spans="1:15" x14ac:dyDescent="0.25">
      <c r="A1" s="9" t="s">
        <v>64</v>
      </c>
      <c r="B1" s="13" t="s">
        <v>31</v>
      </c>
      <c r="C1" s="14" t="s">
        <v>66</v>
      </c>
      <c r="D1">
        <f>IF(B1="","",COUNTIF(Tabla1[País],B1))</f>
        <v>69</v>
      </c>
      <c r="K1" s="15" t="s">
        <v>71</v>
      </c>
      <c r="N1" s="6" t="s">
        <v>67</v>
      </c>
      <c r="O1" s="6" t="s">
        <v>80</v>
      </c>
    </row>
    <row r="2" spans="1:15" x14ac:dyDescent="0.25">
      <c r="N2" s="6" t="str" cm="1">
        <f t="array" ref="N2:N7">_xlfn._xlws.SORT(_xlfn.UNIQUE(Tabla1[País]))</f>
        <v>Costa Rica</v>
      </c>
      <c r="O2" s="6" cm="1">
        <f t="array" ref="O2:O5">_xlfn._xlws.SORT(_xlfn.UNIQUE(Tabla1[Año]))</f>
        <v>2022</v>
      </c>
    </row>
    <row r="3" spans="1:15" x14ac:dyDescent="0.25">
      <c r="A3" s="11" t="s">
        <v>65</v>
      </c>
      <c r="B3" s="12" t="s">
        <v>68</v>
      </c>
      <c r="C3" s="12" t="s">
        <v>69</v>
      </c>
      <c r="E3" s="26" t="s">
        <v>70</v>
      </c>
      <c r="F3" s="26"/>
      <c r="G3" s="26"/>
      <c r="H3" s="10" t="str">
        <f>B1</f>
        <v>Panamá</v>
      </c>
      <c r="N3" s="6" t="str">
        <v>El Salvador</v>
      </c>
      <c r="O3" s="6">
        <v>2023</v>
      </c>
    </row>
    <row r="4" spans="1:15" x14ac:dyDescent="0.25">
      <c r="A4" t="str" cm="1">
        <f t="array" ref="A4:A23">IFERROR(
   _xlfn.UNIQUE(
      _xlfn._xlws.FILTER(
         Tabla1[Producto],
         Tabla1[País] = B1
      )
   ),
"No hay productos")</f>
        <v>Cuerda</v>
      </c>
      <c r="B4" s="5">
        <f>IF(A4="","",SUMIFS(Tabla1[Venta Total (Q)],Tabla1[País],$B$1,Tabla1[Producto],A4))</f>
        <v>55020.097599999994</v>
      </c>
      <c r="C4">
        <f>IF(A4="","",COUNTIFS(Tabla1[País],$B$1,Tabla1[Producto],A4))</f>
        <v>5</v>
      </c>
      <c r="E4" t="str" cm="1">
        <f t="array" ref="E4:G8">IF(B1="","",INDEX(_xlfn._xlws.SORT(_xlfn._xlws.FILTER(A5:C24, A5:A24&lt;&gt;""), 2, -1), _xlfn.SEQUENCE(5), {1,2,3}))</f>
        <v>Mesa</v>
      </c>
      <c r="F4" s="5">
        <v>196763.09580000001</v>
      </c>
      <c r="G4">
        <v>9</v>
      </c>
      <c r="N4" s="6" t="str">
        <v>Guatemala</v>
      </c>
      <c r="O4" s="6">
        <v>2024</v>
      </c>
    </row>
    <row r="5" spans="1:15" x14ac:dyDescent="0.25">
      <c r="A5" t="str">
        <v>Cereal</v>
      </c>
      <c r="B5" s="5">
        <f>IF(A5="","",SUMIFS(Tabla1[Venta Total (Q)],Tabla1[País],$B$1,Tabla1[Producto],A5))</f>
        <v>66450.300900000002</v>
      </c>
      <c r="C5">
        <f>IF(A5="","",COUNTIFS(Tabla1[País],$B$1,Tabla1[Producto],A5))</f>
        <v>4</v>
      </c>
      <c r="E5" t="str">
        <v>Smartphone</v>
      </c>
      <c r="F5" s="5">
        <v>127525.7493</v>
      </c>
      <c r="G5">
        <v>5</v>
      </c>
      <c r="N5" s="6" t="str">
        <v>Honduras</v>
      </c>
      <c r="O5" s="6">
        <v>2025</v>
      </c>
    </row>
    <row r="6" spans="1:15" x14ac:dyDescent="0.25">
      <c r="A6" t="str">
        <v>Azúcar</v>
      </c>
      <c r="B6" s="5">
        <f>IF(A6="","",SUMIFS(Tabla1[Venta Total (Q)],Tabla1[País],$B$1,Tabla1[Producto],A6))</f>
        <v>110592.14360000001</v>
      </c>
      <c r="C6">
        <f>IF(A6="","",COUNTIFS(Tabla1[País],$B$1,Tabla1[Producto],A6))</f>
        <v>4</v>
      </c>
      <c r="E6" t="str">
        <v>Café</v>
      </c>
      <c r="F6" s="5">
        <v>115910.92720000001</v>
      </c>
      <c r="G6">
        <v>4</v>
      </c>
      <c r="N6" s="6" t="str">
        <v>Nicaragua</v>
      </c>
    </row>
    <row r="7" spans="1:15" x14ac:dyDescent="0.25">
      <c r="A7" t="str">
        <v>Monitor</v>
      </c>
      <c r="B7" s="5">
        <f>IF(A7="","",SUMIFS(Tabla1[Venta Total (Q)],Tabla1[País],$B$1,Tabla1[Producto],A7))</f>
        <v>12973.0972</v>
      </c>
      <c r="C7">
        <f>IF(A7="","",COUNTIFS(Tabla1[País],$B$1,Tabla1[Producto],A7))</f>
        <v>2</v>
      </c>
      <c r="E7" t="str">
        <v>Azúcar</v>
      </c>
      <c r="F7" s="5">
        <v>110592.14360000001</v>
      </c>
      <c r="G7">
        <v>4</v>
      </c>
      <c r="N7" s="6" t="str">
        <v>Panamá</v>
      </c>
    </row>
    <row r="8" spans="1:15" x14ac:dyDescent="0.25">
      <c r="A8" t="str">
        <v>Café</v>
      </c>
      <c r="B8" s="5">
        <f>IF(A8="","",SUMIFS(Tabla1[Venta Total (Q)],Tabla1[País],$B$1,Tabla1[Producto],A8))</f>
        <v>115910.92720000001</v>
      </c>
      <c r="C8">
        <f>IF(A8="","",COUNTIFS(Tabla1[País],$B$1,Tabla1[Producto],A8))</f>
        <v>4</v>
      </c>
      <c r="E8" t="str">
        <v>Camisa</v>
      </c>
      <c r="F8" s="5">
        <v>76021.327499999999</v>
      </c>
      <c r="G8">
        <v>4</v>
      </c>
    </row>
    <row r="9" spans="1:15" x14ac:dyDescent="0.25">
      <c r="A9" t="str">
        <v>Mesa</v>
      </c>
      <c r="B9" s="5">
        <f>IF(A9="","",SUMIFS(Tabla1[Venta Total (Q)],Tabla1[País],$B$1,Tabla1[Producto],A9))</f>
        <v>196763.09580000001</v>
      </c>
      <c r="C9">
        <f>IF(A9="","",COUNTIFS(Tabla1[País],$B$1,Tabla1[Producto],A9))</f>
        <v>9</v>
      </c>
    </row>
    <row r="10" spans="1:15" x14ac:dyDescent="0.25">
      <c r="A10" t="str">
        <v>Laptop</v>
      </c>
      <c r="B10" s="5">
        <f>IF(A10="","",SUMIFS(Tabla1[Venta Total (Q)],Tabla1[País],$B$1,Tabla1[Producto],A10))</f>
        <v>15735.602400000002</v>
      </c>
      <c r="C10">
        <f>IF(A10="","",COUNTIFS(Tabla1[País],$B$1,Tabla1[Producto],A10))</f>
        <v>1</v>
      </c>
    </row>
    <row r="11" spans="1:15" x14ac:dyDescent="0.25">
      <c r="A11" t="str">
        <v>Balón</v>
      </c>
      <c r="B11" s="5">
        <f>IF(A11="","",SUMIFS(Tabla1[Venta Total (Q)],Tabla1[País],$B$1,Tabla1[Producto],A11))</f>
        <v>44352.364000000001</v>
      </c>
      <c r="C11">
        <f>IF(A11="","",COUNTIFS(Tabla1[País],$B$1,Tabla1[Producto],A11))</f>
        <v>4</v>
      </c>
    </row>
    <row r="12" spans="1:15" x14ac:dyDescent="0.25">
      <c r="A12" t="str">
        <v>Camisa</v>
      </c>
      <c r="B12" s="5">
        <f>IF(A12="","",SUMIFS(Tabla1[Venta Total (Q)],Tabla1[País],$B$1,Tabla1[Producto],A12))</f>
        <v>76021.327499999999</v>
      </c>
      <c r="C12">
        <f>IF(A12="","",COUNTIFS(Tabla1[País],$B$1,Tabla1[Producto],A12))</f>
        <v>4</v>
      </c>
    </row>
    <row r="13" spans="1:15" x14ac:dyDescent="0.25">
      <c r="A13" t="str">
        <v>Zapatos</v>
      </c>
      <c r="B13" s="5">
        <f>IF(A13="","",SUMIFS(Tabla1[Venta Total (Q)],Tabla1[País],$B$1,Tabla1[Producto],A13))</f>
        <v>65138.667000000001</v>
      </c>
      <c r="C13">
        <f>IF(A13="","",COUNTIFS(Tabla1[País],$B$1,Tabla1[Producto],A13))</f>
        <v>4</v>
      </c>
    </row>
    <row r="14" spans="1:15" x14ac:dyDescent="0.25">
      <c r="A14" t="str">
        <v>Chaqueta</v>
      </c>
      <c r="B14" s="5">
        <f>IF(A14="","",SUMIFS(Tabla1[Venta Total (Q)],Tabla1[País],$B$1,Tabla1[Producto],A14))</f>
        <v>13466.978400000002</v>
      </c>
      <c r="C14">
        <f>IF(A14="","",COUNTIFS(Tabla1[País],$B$1,Tabla1[Producto],A14))</f>
        <v>3</v>
      </c>
    </row>
    <row r="15" spans="1:15" x14ac:dyDescent="0.25">
      <c r="A15" t="str">
        <v>Lámpara</v>
      </c>
      <c r="B15" s="5">
        <f>IF(A15="","",SUMIFS(Tabla1[Venta Total (Q)],Tabla1[País],$B$1,Tabla1[Producto],A15))</f>
        <v>45381.285599999996</v>
      </c>
      <c r="C15">
        <f>IF(A15="","",COUNTIFS(Tabla1[País],$B$1,Tabla1[Producto],A15))</f>
        <v>4</v>
      </c>
    </row>
    <row r="16" spans="1:15" x14ac:dyDescent="0.25">
      <c r="A16" t="str">
        <v>Bicicleta</v>
      </c>
      <c r="B16" s="5">
        <f>IF(A16="","",SUMIFS(Tabla1[Venta Total (Q)],Tabla1[País],$B$1,Tabla1[Producto],A16))</f>
        <v>61955.594100000002</v>
      </c>
      <c r="C16">
        <f>IF(A16="","",COUNTIFS(Tabla1[País],$B$1,Tabla1[Producto],A16))</f>
        <v>3</v>
      </c>
    </row>
    <row r="17" spans="1:3" x14ac:dyDescent="0.25">
      <c r="A17" t="str">
        <v>Smartphone</v>
      </c>
      <c r="B17" s="5">
        <f>IF(A17="","",SUMIFS(Tabla1[Venta Total (Q)],Tabla1[País],$B$1,Tabla1[Producto],A17))</f>
        <v>127525.7493</v>
      </c>
      <c r="C17">
        <f>IF(A17="","",COUNTIFS(Tabla1[País],$B$1,Tabla1[Producto],A17))</f>
        <v>5</v>
      </c>
    </row>
    <row r="18" spans="1:3" x14ac:dyDescent="0.25">
      <c r="A18" t="str">
        <v>Pantalón</v>
      </c>
      <c r="B18" s="5">
        <f>IF(A18="","",SUMIFS(Tabla1[Venta Total (Q)],Tabla1[País],$B$1,Tabla1[Producto],A18))</f>
        <v>59286.553000000007</v>
      </c>
      <c r="C18">
        <f>IF(A18="","",COUNTIFS(Tabla1[País],$B$1,Tabla1[Producto],A18))</f>
        <v>4</v>
      </c>
    </row>
    <row r="19" spans="1:3" x14ac:dyDescent="0.25">
      <c r="A19" t="str">
        <v>Aceite</v>
      </c>
      <c r="B19" s="5">
        <f>IF(A19="","",SUMIFS(Tabla1[Venta Total (Q)],Tabla1[País],$B$1,Tabla1[Producto],A19))</f>
        <v>16886.2824</v>
      </c>
      <c r="C19">
        <f>IF(A19="","",COUNTIFS(Tabla1[País],$B$1,Tabla1[Producto],A19))</f>
        <v>1</v>
      </c>
    </row>
    <row r="20" spans="1:3" x14ac:dyDescent="0.25">
      <c r="A20" t="str">
        <v>Colchón</v>
      </c>
      <c r="B20" s="5">
        <f>IF(A20="","",SUMIFS(Tabla1[Venta Total (Q)],Tabla1[País],$B$1,Tabla1[Producto],A20))</f>
        <v>54337.999000000003</v>
      </c>
      <c r="C20">
        <f>IF(A20="","",COUNTIFS(Tabla1[País],$B$1,Tabla1[Producto],A20))</f>
        <v>4</v>
      </c>
    </row>
    <row r="21" spans="1:3" x14ac:dyDescent="0.25">
      <c r="A21" t="str">
        <v>Guantes</v>
      </c>
      <c r="B21" s="5">
        <f>IF(A21="","",SUMIFS(Tabla1[Venta Total (Q)],Tabla1[País],$B$1,Tabla1[Producto],A21))</f>
        <v>26808.048599999998</v>
      </c>
      <c r="C21">
        <f>IF(A21="","",COUNTIFS(Tabla1[País],$B$1,Tabla1[Producto],A21))</f>
        <v>2</v>
      </c>
    </row>
    <row r="22" spans="1:3" x14ac:dyDescent="0.25">
      <c r="A22" t="str">
        <v>Silla</v>
      </c>
      <c r="B22" s="5">
        <f>IF(A22="","",SUMIFS(Tabla1[Venta Total (Q)],Tabla1[País],$B$1,Tabla1[Producto],A22))</f>
        <v>5934.6534000000001</v>
      </c>
      <c r="C22">
        <f>IF(A22="","",COUNTIFS(Tabla1[País],$B$1,Tabla1[Producto],A22))</f>
        <v>1</v>
      </c>
    </row>
    <row r="23" spans="1:3" x14ac:dyDescent="0.25">
      <c r="A23" t="str">
        <v>Auriculares</v>
      </c>
      <c r="B23" s="5">
        <f>IF(A23="","",SUMIFS(Tabla1[Venta Total (Q)],Tabla1[País],$B$1,Tabla1[Producto],A23))</f>
        <v>41658.268000000011</v>
      </c>
      <c r="C23">
        <f>IF(A23="","",COUNTIFS(Tabla1[País],$B$1,Tabla1[Producto],A23))</f>
        <v>1</v>
      </c>
    </row>
    <row r="24" spans="1:3" x14ac:dyDescent="0.25">
      <c r="B24" s="5" t="str">
        <f>IF(A24="","",SUMIFS(Tabla1[Venta Total (Q)],Tabla1[País],$B$1,Tabla1[Producto],A24))</f>
        <v/>
      </c>
      <c r="C24" t="str">
        <f>IF(A24="","",COUNTIFS(Tabla1[País],$B$1,Tabla1[Producto],A24))</f>
        <v/>
      </c>
    </row>
    <row r="25" spans="1:3" x14ac:dyDescent="0.25">
      <c r="B25" s="5" t="str">
        <f>IF(A25="","",SUMIFS(Tabla1[Venta Total (Q)],Tabla1[País],$B$1,Tabla1[Producto],A25))</f>
        <v/>
      </c>
      <c r="C25" t="str">
        <f>IF(A25="","",COUNTIFS(Tabla1[País],$B$1,Tabla1[Producto],A25))</f>
        <v/>
      </c>
    </row>
    <row r="26" spans="1:3" x14ac:dyDescent="0.25">
      <c r="B26" s="5" t="str">
        <f>IF(A26="","",SUMIFS(Tabla1[Venta Total (Q)],Tabla1[País],$B$1,Tabla1[Producto],A26))</f>
        <v/>
      </c>
      <c r="C26" t="str">
        <f>IF(A26="","",COUNTIFS(Tabla1[País],$B$1,Tabla1[Producto],A26))</f>
        <v/>
      </c>
    </row>
  </sheetData>
  <mergeCells count="1">
    <mergeCell ref="E3:G3"/>
  </mergeCells>
  <dataValidations disablePrompts="1" count="1">
    <dataValidation type="list" allowBlank="1" showInputMessage="1" showErrorMessage="1" sqref="B1" xr:uid="{8FB42CDF-C2F3-41D5-B33B-D0649BBA3119}">
      <formula1>$N$2:$N$7</formula1>
    </dataValidation>
  </dataValidations>
  <hyperlinks>
    <hyperlink ref="K1" location="Menú!A1" display="Regresar" xr:uid="{C493CEA3-03C8-4A1C-9233-F65F92678D9B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9EC2-9532-452A-820C-F34C8A5714DD}">
  <sheetPr codeName="Hoja7"/>
  <dimension ref="A1:E1000"/>
  <sheetViews>
    <sheetView showGridLines="0" tabSelected="1" workbookViewId="0">
      <selection activeCell="G9" sqref="G9"/>
    </sheetView>
  </sheetViews>
  <sheetFormatPr baseColWidth="10" defaultRowHeight="15" x14ac:dyDescent="0.25"/>
  <cols>
    <col min="1" max="1" width="23.7109375" bestFit="1" customWidth="1"/>
    <col min="2" max="2" width="14.28515625" customWidth="1"/>
    <col min="4" max="4" width="12.5703125" customWidth="1"/>
    <col min="5" max="5" width="12.85546875" customWidth="1"/>
  </cols>
  <sheetData>
    <row r="1" spans="1:5" x14ac:dyDescent="0.25">
      <c r="A1" t="s">
        <v>77</v>
      </c>
    </row>
    <row r="3" spans="1:5" x14ac:dyDescent="0.25">
      <c r="A3" s="6" t="s">
        <v>78</v>
      </c>
      <c r="B3" s="30" t="s">
        <v>20</v>
      </c>
    </row>
    <row r="4" spans="1:5" x14ac:dyDescent="0.25">
      <c r="A4" s="6" t="s">
        <v>79</v>
      </c>
      <c r="B4" s="30">
        <v>2024</v>
      </c>
    </row>
    <row r="6" spans="1:5" ht="30" x14ac:dyDescent="0.25">
      <c r="A6" s="27" t="s">
        <v>0</v>
      </c>
      <c r="B6" s="27" t="s">
        <v>2</v>
      </c>
      <c r="C6" s="27" t="s">
        <v>3</v>
      </c>
      <c r="D6" s="27" t="s">
        <v>7</v>
      </c>
      <c r="E6" s="27" t="s">
        <v>62</v>
      </c>
    </row>
    <row r="7" spans="1:5" x14ac:dyDescent="0.25">
      <c r="A7" s="28" t="s">
        <v>20</v>
      </c>
      <c r="B7" s="28" t="s">
        <v>32</v>
      </c>
      <c r="C7" s="28">
        <v>2024</v>
      </c>
      <c r="D7" s="29">
        <v>2912.47</v>
      </c>
      <c r="E7" s="29">
        <v>873.74100000000021</v>
      </c>
    </row>
    <row r="8" spans="1:5" x14ac:dyDescent="0.25">
      <c r="A8" s="28" t="s">
        <v>20</v>
      </c>
      <c r="B8" s="28" t="s">
        <v>30</v>
      </c>
      <c r="C8" s="28">
        <v>2024</v>
      </c>
      <c r="D8" s="29">
        <v>3605.12</v>
      </c>
      <c r="E8" s="29">
        <v>1081.5360000000001</v>
      </c>
    </row>
    <row r="9" spans="1:5" x14ac:dyDescent="0.25">
      <c r="A9" s="28" t="s">
        <v>20</v>
      </c>
      <c r="B9" s="28" t="s">
        <v>18</v>
      </c>
      <c r="C9" s="28">
        <v>2024</v>
      </c>
      <c r="D9" s="29">
        <v>5355.36</v>
      </c>
      <c r="E9" s="29">
        <v>1606.6080000000002</v>
      </c>
    </row>
    <row r="10" spans="1:5" x14ac:dyDescent="0.25">
      <c r="A10" s="28" t="s">
        <v>20</v>
      </c>
      <c r="B10" s="28" t="s">
        <v>33</v>
      </c>
      <c r="C10" s="28">
        <v>2024</v>
      </c>
      <c r="D10" s="29">
        <v>1467.15</v>
      </c>
      <c r="E10" s="29">
        <v>440.14500000000021</v>
      </c>
    </row>
    <row r="11" spans="1:5" x14ac:dyDescent="0.25">
      <c r="A11" s="28" t="s">
        <v>20</v>
      </c>
      <c r="B11" s="28" t="s">
        <v>14</v>
      </c>
      <c r="C11" s="28">
        <v>2024</v>
      </c>
      <c r="D11" s="29">
        <v>3899.9399999999996</v>
      </c>
      <c r="E11" s="29">
        <v>1169.982</v>
      </c>
    </row>
    <row r="12" spans="1:5" x14ac:dyDescent="0.25">
      <c r="A12" s="28" t="s">
        <v>20</v>
      </c>
      <c r="B12" s="28" t="s">
        <v>27</v>
      </c>
      <c r="C12" s="28">
        <v>2024</v>
      </c>
      <c r="D12" s="29">
        <v>6580.5999999999995</v>
      </c>
      <c r="E12" s="29">
        <v>1974.1800000000003</v>
      </c>
    </row>
    <row r="13" spans="1:5" x14ac:dyDescent="0.25">
      <c r="A13" s="28" t="s">
        <v>20</v>
      </c>
      <c r="B13" s="28" t="s">
        <v>32</v>
      </c>
      <c r="C13" s="28">
        <v>2024</v>
      </c>
      <c r="D13" s="29">
        <v>3543.3999999999996</v>
      </c>
      <c r="E13" s="29">
        <v>1063.02</v>
      </c>
    </row>
    <row r="14" spans="1:5" x14ac:dyDescent="0.25">
      <c r="A14" s="28" t="s">
        <v>20</v>
      </c>
      <c r="B14" s="28" t="s">
        <v>23</v>
      </c>
      <c r="C14" s="28">
        <v>2024</v>
      </c>
      <c r="D14" s="29">
        <v>2221.17</v>
      </c>
      <c r="E14" s="29">
        <v>666.35100000000011</v>
      </c>
    </row>
    <row r="15" spans="1:5" x14ac:dyDescent="0.25">
      <c r="A15" s="28" t="s">
        <v>20</v>
      </c>
      <c r="B15" s="28" t="s">
        <v>23</v>
      </c>
      <c r="C15" s="28">
        <v>2024</v>
      </c>
      <c r="D15" s="29">
        <v>553.43999999999994</v>
      </c>
      <c r="E15" s="29">
        <v>166.03199999999993</v>
      </c>
    </row>
    <row r="16" spans="1:5" x14ac:dyDescent="0.25">
      <c r="A16" s="28" t="s">
        <v>20</v>
      </c>
      <c r="B16" s="28" t="s">
        <v>19</v>
      </c>
      <c r="C16" s="28">
        <v>2024</v>
      </c>
      <c r="D16" s="29">
        <v>2836.13</v>
      </c>
      <c r="E16" s="29">
        <v>850.83899999999994</v>
      </c>
    </row>
    <row r="17" spans="1:5" x14ac:dyDescent="0.25">
      <c r="A17" s="28" t="s">
        <v>20</v>
      </c>
      <c r="B17" s="28" t="s">
        <v>36</v>
      </c>
      <c r="C17" s="28">
        <v>2024</v>
      </c>
      <c r="D17" s="29">
        <v>4938</v>
      </c>
      <c r="E17" s="29">
        <v>1481.4000000000005</v>
      </c>
    </row>
    <row r="18" spans="1:5" x14ac:dyDescent="0.25">
      <c r="A18" s="28" t="s">
        <v>20</v>
      </c>
      <c r="B18" s="28" t="s">
        <v>22</v>
      </c>
      <c r="C18" s="28">
        <v>2024</v>
      </c>
      <c r="D18" s="29">
        <v>4545.1499999999996</v>
      </c>
      <c r="E18" s="29">
        <v>1363.5450000000001</v>
      </c>
    </row>
    <row r="19" spans="1:5" x14ac:dyDescent="0.25">
      <c r="A19" s="28" t="s">
        <v>20</v>
      </c>
      <c r="B19" s="28" t="s">
        <v>12</v>
      </c>
      <c r="C19" s="28">
        <v>2024</v>
      </c>
      <c r="D19" s="29">
        <v>3325.38</v>
      </c>
      <c r="E19" s="29">
        <v>997.61400000000003</v>
      </c>
    </row>
    <row r="20" spans="1:5" x14ac:dyDescent="0.25">
      <c r="A20" s="28" t="s">
        <v>20</v>
      </c>
      <c r="B20" s="28" t="s">
        <v>30</v>
      </c>
      <c r="C20" s="28">
        <v>2024</v>
      </c>
      <c r="D20" s="29">
        <v>3794.4900000000002</v>
      </c>
      <c r="E20" s="29">
        <v>1138.3470000000002</v>
      </c>
    </row>
    <row r="21" spans="1:5" x14ac:dyDescent="0.25">
      <c r="A21" s="28" t="s">
        <v>20</v>
      </c>
      <c r="B21" s="28" t="s">
        <v>14</v>
      </c>
      <c r="C21" s="28">
        <v>2024</v>
      </c>
      <c r="D21" s="29">
        <v>1099.8</v>
      </c>
      <c r="E21" s="29">
        <v>329.94000000000005</v>
      </c>
    </row>
    <row r="22" spans="1:5" x14ac:dyDescent="0.25">
      <c r="A22" s="28" t="s">
        <v>20</v>
      </c>
      <c r="B22" s="28" t="s">
        <v>33</v>
      </c>
      <c r="C22" s="28">
        <v>2024</v>
      </c>
      <c r="D22" s="29">
        <v>896.06999999999994</v>
      </c>
      <c r="E22" s="29">
        <v>268.82100000000003</v>
      </c>
    </row>
    <row r="23" spans="1:5" x14ac:dyDescent="0.25">
      <c r="A23" s="28" t="s">
        <v>20</v>
      </c>
      <c r="B23" s="28" t="s">
        <v>27</v>
      </c>
      <c r="C23" s="28">
        <v>2024</v>
      </c>
      <c r="D23" s="29">
        <v>2281.0700000000002</v>
      </c>
      <c r="E23" s="29">
        <v>684.32100000000037</v>
      </c>
    </row>
    <row r="24" spans="1:5" x14ac:dyDescent="0.25">
      <c r="A24" s="28" t="s">
        <v>20</v>
      </c>
      <c r="B24" s="28" t="s">
        <v>36</v>
      </c>
      <c r="C24" s="28">
        <v>2024</v>
      </c>
      <c r="D24" s="29">
        <v>1852.08</v>
      </c>
      <c r="E24" s="29">
        <v>555.62400000000002</v>
      </c>
    </row>
    <row r="25" spans="1:5" x14ac:dyDescent="0.25">
      <c r="A25" s="28" t="s">
        <v>20</v>
      </c>
      <c r="B25" s="28" t="s">
        <v>18</v>
      </c>
      <c r="C25" s="28">
        <v>2024</v>
      </c>
      <c r="D25" s="29">
        <v>58.6</v>
      </c>
      <c r="E25" s="29">
        <v>17.580000000000005</v>
      </c>
    </row>
    <row r="26" spans="1:5" x14ac:dyDescent="0.25">
      <c r="A26" s="28" t="s">
        <v>20</v>
      </c>
      <c r="B26" s="28" t="s">
        <v>12</v>
      </c>
      <c r="C26" s="28">
        <v>2024</v>
      </c>
      <c r="D26" s="29">
        <v>1344.15</v>
      </c>
      <c r="E26" s="29">
        <v>403.24500000000012</v>
      </c>
    </row>
    <row r="27" spans="1:5" x14ac:dyDescent="0.25">
      <c r="A27" s="28" t="s">
        <v>20</v>
      </c>
      <c r="B27" s="28" t="s">
        <v>38</v>
      </c>
      <c r="C27" s="28">
        <v>2024</v>
      </c>
      <c r="D27" s="29">
        <v>4469.8999999999996</v>
      </c>
      <c r="E27" s="29">
        <v>1340.9699999999998</v>
      </c>
    </row>
    <row r="28" spans="1:5" x14ac:dyDescent="0.25">
      <c r="A28" s="28" t="s">
        <v>20</v>
      </c>
      <c r="B28" s="28" t="s">
        <v>39</v>
      </c>
      <c r="C28" s="28">
        <v>2024</v>
      </c>
      <c r="D28" s="29">
        <v>3827.1</v>
      </c>
      <c r="E28" s="29">
        <v>1148.1300000000001</v>
      </c>
    </row>
    <row r="29" spans="1:5" x14ac:dyDescent="0.25">
      <c r="A29" s="28" t="s">
        <v>20</v>
      </c>
      <c r="B29" s="28" t="s">
        <v>22</v>
      </c>
      <c r="C29" s="28">
        <v>2024</v>
      </c>
      <c r="D29" s="29">
        <v>3118.64</v>
      </c>
      <c r="E29" s="29">
        <v>935.5920000000001</v>
      </c>
    </row>
    <row r="30" spans="1:5" x14ac:dyDescent="0.25">
      <c r="A30" s="28" t="s">
        <v>20</v>
      </c>
      <c r="B30" s="28" t="s">
        <v>34</v>
      </c>
      <c r="C30" s="28">
        <v>2024</v>
      </c>
      <c r="D30" s="29">
        <v>2735.36</v>
      </c>
      <c r="E30" s="29">
        <v>820.60800000000017</v>
      </c>
    </row>
    <row r="31" spans="1:5" x14ac:dyDescent="0.25">
      <c r="A31" s="28" t="s">
        <v>20</v>
      </c>
      <c r="B31" s="28" t="s">
        <v>24</v>
      </c>
      <c r="C31" s="28">
        <v>2024</v>
      </c>
      <c r="D31" s="29">
        <v>112.38</v>
      </c>
      <c r="E31" s="29">
        <v>33.713999999999999</v>
      </c>
    </row>
    <row r="32" spans="1:5" x14ac:dyDescent="0.25">
      <c r="A32" s="31"/>
      <c r="B32" s="31"/>
      <c r="C32" s="31"/>
      <c r="D32" s="32"/>
      <c r="E32" s="32"/>
    </row>
    <row r="33" spans="1:5" x14ac:dyDescent="0.25">
      <c r="A33" s="33"/>
      <c r="B33" s="33"/>
      <c r="C33" s="33"/>
      <c r="D33" s="33"/>
      <c r="E33" s="33"/>
    </row>
    <row r="34" spans="1:5" x14ac:dyDescent="0.25">
      <c r="A34" s="33"/>
      <c r="B34" s="33"/>
      <c r="C34" s="33"/>
      <c r="D34" s="33"/>
      <c r="E34" s="33"/>
    </row>
    <row r="35" spans="1:5" x14ac:dyDescent="0.25">
      <c r="A35" s="33"/>
      <c r="B35" s="33"/>
      <c r="C35" s="33"/>
      <c r="D35" s="33"/>
      <c r="E35" s="33"/>
    </row>
    <row r="36" spans="1:5" x14ac:dyDescent="0.25">
      <c r="A36" s="33"/>
      <c r="B36" s="33"/>
      <c r="C36" s="33"/>
      <c r="D36" s="33"/>
      <c r="E36" s="33"/>
    </row>
    <row r="37" spans="1:5" x14ac:dyDescent="0.25">
      <c r="A37" s="33"/>
      <c r="B37" s="33"/>
      <c r="C37" s="33"/>
      <c r="D37" s="33"/>
      <c r="E37" s="33"/>
    </row>
    <row r="38" spans="1:5" x14ac:dyDescent="0.25">
      <c r="A38" s="33"/>
      <c r="B38" s="33"/>
      <c r="C38" s="33"/>
      <c r="D38" s="33"/>
      <c r="E38" s="33"/>
    </row>
    <row r="39" spans="1:5" x14ac:dyDescent="0.25">
      <c r="A39" s="33"/>
      <c r="B39" s="33"/>
      <c r="C39" s="33"/>
      <c r="D39" s="33"/>
      <c r="E39" s="33"/>
    </row>
    <row r="40" spans="1:5" x14ac:dyDescent="0.25">
      <c r="A40" s="33"/>
      <c r="B40" s="33"/>
      <c r="C40" s="33"/>
      <c r="D40" s="33"/>
      <c r="E40" s="33"/>
    </row>
    <row r="41" spans="1:5" x14ac:dyDescent="0.25">
      <c r="A41" s="33"/>
      <c r="B41" s="33"/>
      <c r="C41" s="33"/>
      <c r="D41" s="33"/>
      <c r="E41" s="33"/>
    </row>
    <row r="42" spans="1:5" x14ac:dyDescent="0.25">
      <c r="A42" s="33"/>
      <c r="B42" s="33"/>
      <c r="C42" s="33"/>
      <c r="D42" s="33"/>
      <c r="E42" s="33"/>
    </row>
    <row r="43" spans="1:5" x14ac:dyDescent="0.25">
      <c r="A43" s="33"/>
      <c r="B43" s="33"/>
      <c r="C43" s="33"/>
      <c r="D43" s="33"/>
      <c r="E43" s="33"/>
    </row>
    <row r="44" spans="1:5" x14ac:dyDescent="0.25">
      <c r="A44" s="33"/>
      <c r="B44" s="33"/>
      <c r="C44" s="33"/>
      <c r="D44" s="33"/>
      <c r="E44" s="33"/>
    </row>
    <row r="45" spans="1:5" x14ac:dyDescent="0.25">
      <c r="A45" s="33"/>
      <c r="B45" s="33"/>
      <c r="C45" s="33"/>
      <c r="D45" s="33"/>
      <c r="E45" s="33"/>
    </row>
    <row r="46" spans="1:5" x14ac:dyDescent="0.25">
      <c r="A46" s="33"/>
      <c r="B46" s="33"/>
      <c r="C46" s="33"/>
      <c r="D46" s="33"/>
      <c r="E46" s="33"/>
    </row>
    <row r="47" spans="1:5" x14ac:dyDescent="0.25">
      <c r="A47" s="33"/>
      <c r="B47" s="33"/>
      <c r="C47" s="33"/>
      <c r="D47" s="33"/>
      <c r="E47" s="33"/>
    </row>
    <row r="48" spans="1:5" x14ac:dyDescent="0.25">
      <c r="A48" s="33"/>
      <c r="B48" s="33"/>
      <c r="C48" s="33"/>
      <c r="D48" s="33"/>
      <c r="E48" s="33"/>
    </row>
    <row r="49" spans="1:5" x14ac:dyDescent="0.25">
      <c r="A49" s="33"/>
      <c r="B49" s="33"/>
      <c r="C49" s="33"/>
      <c r="D49" s="33"/>
      <c r="E49" s="33"/>
    </row>
    <row r="50" spans="1:5" x14ac:dyDescent="0.25">
      <c r="A50" s="33"/>
      <c r="B50" s="33"/>
      <c r="C50" s="33"/>
      <c r="D50" s="33"/>
      <c r="E50" s="33"/>
    </row>
    <row r="51" spans="1:5" x14ac:dyDescent="0.25">
      <c r="A51" s="33"/>
      <c r="B51" s="33"/>
      <c r="C51" s="33"/>
      <c r="D51" s="33"/>
      <c r="E51" s="33"/>
    </row>
    <row r="52" spans="1:5" x14ac:dyDescent="0.25">
      <c r="A52" s="33"/>
      <c r="B52" s="33"/>
      <c r="C52" s="33"/>
      <c r="D52" s="33"/>
      <c r="E52" s="33"/>
    </row>
    <row r="53" spans="1:5" x14ac:dyDescent="0.25">
      <c r="A53" s="33"/>
      <c r="B53" s="33"/>
      <c r="C53" s="33"/>
      <c r="D53" s="33"/>
      <c r="E53" s="33"/>
    </row>
    <row r="54" spans="1:5" x14ac:dyDescent="0.25">
      <c r="A54" s="33"/>
      <c r="B54" s="33"/>
      <c r="C54" s="33"/>
      <c r="D54" s="33"/>
      <c r="E54" s="33"/>
    </row>
    <row r="55" spans="1:5" x14ac:dyDescent="0.25">
      <c r="A55" s="33"/>
      <c r="B55" s="33"/>
      <c r="C55" s="33"/>
      <c r="D55" s="33"/>
      <c r="E55" s="33"/>
    </row>
    <row r="56" spans="1:5" x14ac:dyDescent="0.25">
      <c r="A56" s="33"/>
      <c r="B56" s="33"/>
      <c r="C56" s="33"/>
      <c r="D56" s="33"/>
      <c r="E56" s="33"/>
    </row>
    <row r="57" spans="1:5" x14ac:dyDescent="0.25">
      <c r="A57" s="33"/>
      <c r="B57" s="33"/>
      <c r="C57" s="33"/>
      <c r="D57" s="33"/>
      <c r="E57" s="33"/>
    </row>
    <row r="58" spans="1:5" x14ac:dyDescent="0.25">
      <c r="A58" s="33"/>
      <c r="B58" s="33"/>
      <c r="C58" s="33"/>
      <c r="D58" s="33"/>
      <c r="E58" s="33"/>
    </row>
    <row r="59" spans="1:5" x14ac:dyDescent="0.25">
      <c r="A59" s="33"/>
      <c r="B59" s="33"/>
      <c r="C59" s="33"/>
      <c r="D59" s="33"/>
      <c r="E59" s="33"/>
    </row>
    <row r="60" spans="1:5" x14ac:dyDescent="0.25">
      <c r="A60" s="33"/>
      <c r="B60" s="33"/>
      <c r="C60" s="33"/>
      <c r="D60" s="33"/>
      <c r="E60" s="33"/>
    </row>
    <row r="61" spans="1:5" x14ac:dyDescent="0.25">
      <c r="A61" s="33"/>
      <c r="B61" s="33"/>
      <c r="C61" s="33"/>
      <c r="D61" s="33"/>
      <c r="E61" s="33"/>
    </row>
    <row r="62" spans="1:5" x14ac:dyDescent="0.25">
      <c r="A62" s="33"/>
      <c r="B62" s="33"/>
      <c r="C62" s="33"/>
      <c r="D62" s="33"/>
      <c r="E62" s="33"/>
    </row>
    <row r="63" spans="1:5" x14ac:dyDescent="0.25">
      <c r="A63" s="33"/>
      <c r="B63" s="33"/>
      <c r="C63" s="33"/>
      <c r="D63" s="33"/>
      <c r="E63" s="33"/>
    </row>
    <row r="64" spans="1:5" x14ac:dyDescent="0.25">
      <c r="A64" s="33"/>
      <c r="B64" s="33"/>
      <c r="C64" s="33"/>
      <c r="D64" s="33"/>
      <c r="E64" s="33"/>
    </row>
    <row r="65" spans="1:5" x14ac:dyDescent="0.25">
      <c r="A65" s="33"/>
      <c r="B65" s="33"/>
      <c r="C65" s="33"/>
      <c r="D65" s="33"/>
      <c r="E65" s="33"/>
    </row>
    <row r="66" spans="1:5" x14ac:dyDescent="0.25">
      <c r="A66" s="33"/>
      <c r="B66" s="33"/>
      <c r="C66" s="33"/>
      <c r="D66" s="33"/>
      <c r="E66" s="33"/>
    </row>
    <row r="67" spans="1:5" x14ac:dyDescent="0.25">
      <c r="A67" s="33"/>
      <c r="B67" s="33"/>
      <c r="C67" s="33"/>
      <c r="D67" s="33"/>
      <c r="E67" s="33"/>
    </row>
    <row r="68" spans="1:5" x14ac:dyDescent="0.25">
      <c r="A68" s="33"/>
      <c r="B68" s="33"/>
      <c r="C68" s="33"/>
      <c r="D68" s="33"/>
      <c r="E68" s="33"/>
    </row>
    <row r="69" spans="1:5" x14ac:dyDescent="0.25">
      <c r="A69" s="33"/>
      <c r="B69" s="33"/>
      <c r="C69" s="33"/>
      <c r="D69" s="33"/>
      <c r="E69" s="33"/>
    </row>
    <row r="70" spans="1:5" x14ac:dyDescent="0.25">
      <c r="A70" s="33"/>
      <c r="B70" s="33"/>
      <c r="C70" s="33"/>
      <c r="D70" s="33"/>
      <c r="E70" s="33"/>
    </row>
    <row r="71" spans="1:5" x14ac:dyDescent="0.25">
      <c r="A71" s="33"/>
      <c r="B71" s="33"/>
      <c r="C71" s="33"/>
      <c r="D71" s="33"/>
      <c r="E71" s="33"/>
    </row>
    <row r="72" spans="1:5" x14ac:dyDescent="0.25">
      <c r="A72" s="33"/>
      <c r="B72" s="33"/>
      <c r="C72" s="33"/>
      <c r="D72" s="33"/>
      <c r="E72" s="33"/>
    </row>
    <row r="73" spans="1:5" x14ac:dyDescent="0.25">
      <c r="A73" s="33"/>
      <c r="B73" s="33"/>
      <c r="C73" s="33"/>
      <c r="D73" s="33"/>
      <c r="E73" s="33"/>
    </row>
    <row r="74" spans="1:5" x14ac:dyDescent="0.25">
      <c r="A74" s="33"/>
      <c r="B74" s="33"/>
      <c r="C74" s="33"/>
      <c r="D74" s="33"/>
      <c r="E74" s="33"/>
    </row>
    <row r="75" spans="1:5" x14ac:dyDescent="0.25">
      <c r="A75" s="33"/>
      <c r="B75" s="33"/>
      <c r="C75" s="33"/>
      <c r="D75" s="33"/>
      <c r="E75" s="33"/>
    </row>
    <row r="76" spans="1:5" x14ac:dyDescent="0.25">
      <c r="A76" s="33"/>
      <c r="B76" s="33"/>
      <c r="C76" s="33"/>
      <c r="D76" s="33"/>
      <c r="E76" s="33"/>
    </row>
    <row r="77" spans="1:5" x14ac:dyDescent="0.25">
      <c r="A77" s="33"/>
      <c r="B77" s="33"/>
      <c r="C77" s="33"/>
      <c r="D77" s="33"/>
      <c r="E77" s="33"/>
    </row>
    <row r="78" spans="1:5" x14ac:dyDescent="0.25">
      <c r="A78" s="33"/>
      <c r="B78" s="33"/>
      <c r="C78" s="33"/>
      <c r="D78" s="33"/>
      <c r="E78" s="33"/>
    </row>
    <row r="79" spans="1:5" x14ac:dyDescent="0.25">
      <c r="A79" s="33"/>
      <c r="B79" s="33"/>
      <c r="C79" s="33"/>
      <c r="D79" s="33"/>
      <c r="E79" s="33"/>
    </row>
    <row r="80" spans="1:5" x14ac:dyDescent="0.25">
      <c r="A80" s="33"/>
      <c r="B80" s="33"/>
      <c r="C80" s="33"/>
      <c r="D80" s="33"/>
      <c r="E80" s="33"/>
    </row>
    <row r="81" spans="1:5" x14ac:dyDescent="0.25">
      <c r="A81" s="33"/>
      <c r="B81" s="33"/>
      <c r="C81" s="33"/>
      <c r="D81" s="33"/>
      <c r="E81" s="33"/>
    </row>
    <row r="82" spans="1:5" x14ac:dyDescent="0.25">
      <c r="A82" s="33"/>
      <c r="B82" s="33"/>
      <c r="C82" s="33"/>
      <c r="D82" s="33"/>
      <c r="E82" s="33"/>
    </row>
    <row r="83" spans="1:5" x14ac:dyDescent="0.25">
      <c r="A83" s="33"/>
      <c r="B83" s="33"/>
      <c r="C83" s="33"/>
      <c r="D83" s="33"/>
      <c r="E83" s="33"/>
    </row>
    <row r="84" spans="1:5" x14ac:dyDescent="0.25">
      <c r="A84" s="33"/>
      <c r="B84" s="33"/>
      <c r="C84" s="33"/>
      <c r="D84" s="33"/>
      <c r="E84" s="33"/>
    </row>
    <row r="85" spans="1:5" x14ac:dyDescent="0.25">
      <c r="A85" s="33"/>
      <c r="B85" s="33"/>
      <c r="C85" s="33"/>
      <c r="D85" s="33"/>
      <c r="E85" s="33"/>
    </row>
    <row r="86" spans="1:5" x14ac:dyDescent="0.25">
      <c r="A86" s="33"/>
      <c r="B86" s="33"/>
      <c r="C86" s="33"/>
      <c r="D86" s="33"/>
      <c r="E86" s="33"/>
    </row>
    <row r="87" spans="1:5" x14ac:dyDescent="0.25">
      <c r="A87" s="33"/>
      <c r="B87" s="33"/>
      <c r="C87" s="33"/>
      <c r="D87" s="33"/>
      <c r="E87" s="33"/>
    </row>
    <row r="88" spans="1:5" x14ac:dyDescent="0.25">
      <c r="A88" s="33"/>
      <c r="B88" s="33"/>
      <c r="C88" s="33"/>
      <c r="D88" s="33"/>
      <c r="E88" s="33"/>
    </row>
    <row r="89" spans="1:5" x14ac:dyDescent="0.25">
      <c r="A89" s="33"/>
      <c r="B89" s="33"/>
      <c r="C89" s="33"/>
      <c r="D89" s="33"/>
      <c r="E89" s="33"/>
    </row>
    <row r="90" spans="1:5" x14ac:dyDescent="0.25">
      <c r="A90" s="33"/>
      <c r="B90" s="33"/>
      <c r="C90" s="33"/>
      <c r="D90" s="33"/>
      <c r="E90" s="33"/>
    </row>
    <row r="91" spans="1:5" x14ac:dyDescent="0.25">
      <c r="A91" s="33"/>
      <c r="B91" s="33"/>
      <c r="C91" s="33"/>
      <c r="D91" s="33"/>
      <c r="E91" s="33"/>
    </row>
    <row r="92" spans="1:5" x14ac:dyDescent="0.25">
      <c r="A92" s="33"/>
      <c r="B92" s="33"/>
      <c r="C92" s="33"/>
      <c r="D92" s="33"/>
      <c r="E92" s="33"/>
    </row>
    <row r="93" spans="1:5" x14ac:dyDescent="0.25">
      <c r="A93" s="33"/>
      <c r="B93" s="33"/>
      <c r="C93" s="33"/>
      <c r="D93" s="33"/>
      <c r="E93" s="33"/>
    </row>
    <row r="94" spans="1:5" x14ac:dyDescent="0.25">
      <c r="A94" s="33"/>
      <c r="B94" s="33"/>
      <c r="C94" s="33"/>
      <c r="D94" s="33"/>
      <c r="E94" s="33"/>
    </row>
    <row r="95" spans="1:5" x14ac:dyDescent="0.25">
      <c r="A95" s="33"/>
      <c r="B95" s="33"/>
      <c r="C95" s="33"/>
      <c r="D95" s="33"/>
      <c r="E95" s="33"/>
    </row>
    <row r="96" spans="1:5" x14ac:dyDescent="0.25">
      <c r="A96" s="33"/>
      <c r="B96" s="33"/>
      <c r="C96" s="33"/>
      <c r="D96" s="33"/>
      <c r="E96" s="33"/>
    </row>
    <row r="97" spans="1:5" x14ac:dyDescent="0.25">
      <c r="A97" s="33"/>
      <c r="B97" s="33"/>
      <c r="C97" s="33"/>
      <c r="D97" s="33"/>
      <c r="E97" s="33"/>
    </row>
    <row r="98" spans="1:5" x14ac:dyDescent="0.25">
      <c r="A98" s="33"/>
      <c r="B98" s="33"/>
      <c r="C98" s="33"/>
      <c r="D98" s="33"/>
      <c r="E98" s="33"/>
    </row>
    <row r="99" spans="1:5" x14ac:dyDescent="0.25">
      <c r="A99" s="33"/>
      <c r="B99" s="33"/>
      <c r="C99" s="33"/>
      <c r="D99" s="33"/>
      <c r="E99" s="33"/>
    </row>
    <row r="100" spans="1:5" x14ac:dyDescent="0.25">
      <c r="A100" s="33"/>
      <c r="B100" s="33"/>
      <c r="C100" s="33"/>
      <c r="D100" s="33"/>
      <c r="E100" s="33"/>
    </row>
    <row r="101" spans="1:5" x14ac:dyDescent="0.25">
      <c r="A101" s="33"/>
      <c r="B101" s="33"/>
      <c r="C101" s="33"/>
      <c r="D101" s="33"/>
      <c r="E101" s="33"/>
    </row>
    <row r="102" spans="1:5" x14ac:dyDescent="0.25">
      <c r="A102" s="33"/>
      <c r="B102" s="33"/>
      <c r="C102" s="33"/>
      <c r="D102" s="33"/>
      <c r="E102" s="33"/>
    </row>
    <row r="103" spans="1:5" x14ac:dyDescent="0.25">
      <c r="A103" s="33"/>
      <c r="B103" s="33"/>
      <c r="C103" s="33"/>
      <c r="D103" s="33"/>
      <c r="E103" s="33"/>
    </row>
    <row r="104" spans="1:5" x14ac:dyDescent="0.25">
      <c r="A104" s="33"/>
      <c r="B104" s="33"/>
      <c r="C104" s="33"/>
      <c r="D104" s="33"/>
      <c r="E104" s="33"/>
    </row>
    <row r="105" spans="1:5" x14ac:dyDescent="0.25">
      <c r="A105" s="33"/>
      <c r="B105" s="33"/>
      <c r="C105" s="33"/>
      <c r="D105" s="33"/>
      <c r="E105" s="33"/>
    </row>
    <row r="106" spans="1:5" x14ac:dyDescent="0.25">
      <c r="A106" s="33"/>
      <c r="B106" s="33"/>
      <c r="C106" s="33"/>
      <c r="D106" s="33"/>
      <c r="E106" s="33"/>
    </row>
    <row r="107" spans="1:5" x14ac:dyDescent="0.25">
      <c r="A107" s="33"/>
      <c r="B107" s="33"/>
      <c r="C107" s="33"/>
      <c r="D107" s="33"/>
      <c r="E107" s="33"/>
    </row>
    <row r="108" spans="1:5" x14ac:dyDescent="0.25">
      <c r="A108" s="33"/>
      <c r="B108" s="33"/>
      <c r="C108" s="33"/>
      <c r="D108" s="33"/>
      <c r="E108" s="33"/>
    </row>
    <row r="109" spans="1:5" x14ac:dyDescent="0.25">
      <c r="A109" s="33"/>
      <c r="B109" s="33"/>
      <c r="C109" s="33"/>
      <c r="D109" s="33"/>
      <c r="E109" s="33"/>
    </row>
    <row r="110" spans="1:5" x14ac:dyDescent="0.25">
      <c r="A110" s="33"/>
      <c r="B110" s="33"/>
      <c r="C110" s="33"/>
      <c r="D110" s="33"/>
      <c r="E110" s="33"/>
    </row>
    <row r="111" spans="1:5" x14ac:dyDescent="0.25">
      <c r="A111" s="33"/>
      <c r="B111" s="33"/>
      <c r="C111" s="33"/>
      <c r="D111" s="33"/>
      <c r="E111" s="33"/>
    </row>
    <row r="112" spans="1:5" x14ac:dyDescent="0.25">
      <c r="A112" s="33"/>
      <c r="B112" s="33"/>
      <c r="C112" s="33"/>
      <c r="D112" s="33"/>
      <c r="E112" s="33"/>
    </row>
    <row r="113" spans="1:5" x14ac:dyDescent="0.25">
      <c r="A113" s="33"/>
      <c r="B113" s="33"/>
      <c r="C113" s="33"/>
      <c r="D113" s="33"/>
      <c r="E113" s="33"/>
    </row>
    <row r="114" spans="1:5" x14ac:dyDescent="0.25">
      <c r="A114" s="33"/>
      <c r="B114" s="33"/>
      <c r="C114" s="33"/>
      <c r="D114" s="33"/>
      <c r="E114" s="33"/>
    </row>
    <row r="115" spans="1:5" x14ac:dyDescent="0.25">
      <c r="A115" s="33"/>
      <c r="B115" s="33"/>
      <c r="C115" s="33"/>
      <c r="D115" s="33"/>
      <c r="E115" s="33"/>
    </row>
    <row r="116" spans="1:5" x14ac:dyDescent="0.25">
      <c r="A116" s="33"/>
      <c r="B116" s="33"/>
      <c r="C116" s="33"/>
      <c r="D116" s="33"/>
      <c r="E116" s="33"/>
    </row>
    <row r="117" spans="1:5" x14ac:dyDescent="0.25">
      <c r="A117" s="33"/>
      <c r="B117" s="33"/>
      <c r="C117" s="33"/>
      <c r="D117" s="33"/>
      <c r="E117" s="33"/>
    </row>
    <row r="118" spans="1:5" x14ac:dyDescent="0.25">
      <c r="A118" s="33"/>
      <c r="B118" s="33"/>
      <c r="C118" s="33"/>
      <c r="D118" s="33"/>
      <c r="E118" s="33"/>
    </row>
    <row r="119" spans="1:5" x14ac:dyDescent="0.25">
      <c r="A119" s="33"/>
      <c r="B119" s="33"/>
      <c r="C119" s="33"/>
      <c r="D119" s="33"/>
      <c r="E119" s="33"/>
    </row>
    <row r="120" spans="1:5" x14ac:dyDescent="0.25">
      <c r="A120" s="33"/>
      <c r="B120" s="33"/>
      <c r="C120" s="33"/>
      <c r="D120" s="33"/>
      <c r="E120" s="33"/>
    </row>
    <row r="121" spans="1:5" x14ac:dyDescent="0.25">
      <c r="A121" s="33"/>
      <c r="B121" s="33"/>
      <c r="C121" s="33"/>
      <c r="D121" s="33"/>
      <c r="E121" s="33"/>
    </row>
    <row r="122" spans="1:5" x14ac:dyDescent="0.25">
      <c r="A122" s="33"/>
      <c r="B122" s="33"/>
      <c r="C122" s="33"/>
      <c r="D122" s="33"/>
      <c r="E122" s="33"/>
    </row>
    <row r="123" spans="1:5" x14ac:dyDescent="0.25">
      <c r="A123" s="33"/>
      <c r="B123" s="33"/>
      <c r="C123" s="33"/>
      <c r="D123" s="33"/>
      <c r="E123" s="33"/>
    </row>
    <row r="124" spans="1:5" x14ac:dyDescent="0.25">
      <c r="A124" s="33"/>
      <c r="B124" s="33"/>
      <c r="C124" s="33"/>
      <c r="D124" s="33"/>
      <c r="E124" s="33"/>
    </row>
    <row r="125" spans="1:5" x14ac:dyDescent="0.25">
      <c r="A125" s="33"/>
      <c r="B125" s="33"/>
      <c r="C125" s="33"/>
      <c r="D125" s="33"/>
      <c r="E125" s="33"/>
    </row>
    <row r="126" spans="1:5" x14ac:dyDescent="0.25">
      <c r="A126" s="33"/>
      <c r="B126" s="33"/>
      <c r="C126" s="33"/>
      <c r="D126" s="33"/>
      <c r="E126" s="33"/>
    </row>
    <row r="127" spans="1:5" x14ac:dyDescent="0.25">
      <c r="A127" s="33"/>
      <c r="B127" s="33"/>
      <c r="C127" s="33"/>
      <c r="D127" s="33"/>
      <c r="E127" s="33"/>
    </row>
    <row r="128" spans="1:5" x14ac:dyDescent="0.25">
      <c r="A128" s="33"/>
      <c r="B128" s="33"/>
      <c r="C128" s="33"/>
      <c r="D128" s="33"/>
      <c r="E128" s="33"/>
    </row>
    <row r="129" spans="1:5" x14ac:dyDescent="0.25">
      <c r="A129" s="33"/>
      <c r="B129" s="33"/>
      <c r="C129" s="33"/>
      <c r="D129" s="33"/>
      <c r="E129" s="33"/>
    </row>
    <row r="130" spans="1:5" x14ac:dyDescent="0.25">
      <c r="A130" s="33"/>
      <c r="B130" s="33"/>
      <c r="C130" s="33"/>
      <c r="D130" s="33"/>
      <c r="E130" s="33"/>
    </row>
    <row r="131" spans="1:5" x14ac:dyDescent="0.25">
      <c r="A131" s="33"/>
      <c r="B131" s="33"/>
      <c r="C131" s="33"/>
      <c r="D131" s="33"/>
      <c r="E131" s="33"/>
    </row>
    <row r="132" spans="1:5" x14ac:dyDescent="0.25">
      <c r="A132" s="33"/>
      <c r="B132" s="33"/>
      <c r="C132" s="33"/>
      <c r="D132" s="33"/>
      <c r="E132" s="33"/>
    </row>
    <row r="133" spans="1:5" x14ac:dyDescent="0.25">
      <c r="A133" s="33"/>
      <c r="B133" s="33"/>
      <c r="C133" s="33"/>
      <c r="D133" s="33"/>
      <c r="E133" s="33"/>
    </row>
    <row r="134" spans="1:5" x14ac:dyDescent="0.25">
      <c r="A134" s="33"/>
      <c r="B134" s="33"/>
      <c r="C134" s="33"/>
      <c r="D134" s="33"/>
      <c r="E134" s="33"/>
    </row>
    <row r="135" spans="1:5" x14ac:dyDescent="0.25">
      <c r="A135" s="33"/>
      <c r="B135" s="33"/>
      <c r="C135" s="33"/>
      <c r="D135" s="33"/>
      <c r="E135" s="33"/>
    </row>
    <row r="136" spans="1:5" x14ac:dyDescent="0.25">
      <c r="A136" s="33"/>
      <c r="B136" s="33"/>
      <c r="C136" s="33"/>
      <c r="D136" s="33"/>
      <c r="E136" s="33"/>
    </row>
    <row r="137" spans="1:5" x14ac:dyDescent="0.25">
      <c r="A137" s="33"/>
      <c r="B137" s="33"/>
      <c r="C137" s="33"/>
      <c r="D137" s="33"/>
      <c r="E137" s="33"/>
    </row>
    <row r="138" spans="1:5" x14ac:dyDescent="0.25">
      <c r="A138" s="33"/>
      <c r="B138" s="33"/>
      <c r="C138" s="33"/>
      <c r="D138" s="33"/>
      <c r="E138" s="33"/>
    </row>
    <row r="139" spans="1:5" x14ac:dyDescent="0.25">
      <c r="A139" s="33"/>
      <c r="B139" s="33"/>
      <c r="C139" s="33"/>
      <c r="D139" s="33"/>
      <c r="E139" s="33"/>
    </row>
    <row r="140" spans="1:5" x14ac:dyDescent="0.25">
      <c r="A140" s="33"/>
      <c r="B140" s="33"/>
      <c r="C140" s="33"/>
      <c r="D140" s="33"/>
      <c r="E140" s="33"/>
    </row>
    <row r="141" spans="1:5" x14ac:dyDescent="0.25">
      <c r="A141" s="33"/>
      <c r="B141" s="33"/>
      <c r="C141" s="33"/>
      <c r="D141" s="33"/>
      <c r="E141" s="33"/>
    </row>
    <row r="142" spans="1:5" x14ac:dyDescent="0.25">
      <c r="A142" s="33"/>
      <c r="B142" s="33"/>
      <c r="C142" s="33"/>
      <c r="D142" s="33"/>
      <c r="E142" s="33"/>
    </row>
    <row r="143" spans="1:5" x14ac:dyDescent="0.25">
      <c r="A143" s="33"/>
      <c r="B143" s="33"/>
      <c r="C143" s="33"/>
      <c r="D143" s="33"/>
      <c r="E143" s="33"/>
    </row>
    <row r="144" spans="1:5" x14ac:dyDescent="0.25">
      <c r="A144" s="33"/>
      <c r="B144" s="33"/>
      <c r="C144" s="33"/>
      <c r="D144" s="33"/>
      <c r="E144" s="33"/>
    </row>
    <row r="145" spans="1:5" x14ac:dyDescent="0.25">
      <c r="A145" s="33"/>
      <c r="B145" s="33"/>
      <c r="C145" s="33"/>
      <c r="D145" s="33"/>
      <c r="E145" s="33"/>
    </row>
    <row r="146" spans="1:5" x14ac:dyDescent="0.25">
      <c r="A146" s="33"/>
      <c r="B146" s="33"/>
      <c r="C146" s="33"/>
      <c r="D146" s="33"/>
      <c r="E146" s="33"/>
    </row>
    <row r="147" spans="1:5" x14ac:dyDescent="0.25">
      <c r="A147" s="33"/>
      <c r="B147" s="33"/>
      <c r="C147" s="33"/>
      <c r="D147" s="33"/>
      <c r="E147" s="33"/>
    </row>
    <row r="148" spans="1:5" x14ac:dyDescent="0.25">
      <c r="A148" s="33"/>
      <c r="B148" s="33"/>
      <c r="C148" s="33"/>
      <c r="D148" s="33"/>
      <c r="E148" s="33"/>
    </row>
    <row r="149" spans="1:5" x14ac:dyDescent="0.25">
      <c r="A149" s="33"/>
      <c r="B149" s="33"/>
      <c r="C149" s="33"/>
      <c r="D149" s="33"/>
      <c r="E149" s="33"/>
    </row>
    <row r="150" spans="1:5" x14ac:dyDescent="0.25">
      <c r="A150" s="33"/>
      <c r="B150" s="33"/>
      <c r="C150" s="33"/>
      <c r="D150" s="33"/>
      <c r="E150" s="33"/>
    </row>
    <row r="151" spans="1:5" x14ac:dyDescent="0.25">
      <c r="A151" s="33"/>
      <c r="B151" s="33"/>
      <c r="C151" s="33"/>
      <c r="D151" s="33"/>
      <c r="E151" s="33"/>
    </row>
    <row r="152" spans="1:5" x14ac:dyDescent="0.25">
      <c r="A152" s="33"/>
      <c r="B152" s="33"/>
      <c r="C152" s="33"/>
      <c r="D152" s="33"/>
      <c r="E152" s="33"/>
    </row>
    <row r="153" spans="1:5" x14ac:dyDescent="0.25">
      <c r="A153" s="33"/>
      <c r="B153" s="33"/>
      <c r="C153" s="33"/>
      <c r="D153" s="33"/>
      <c r="E153" s="33"/>
    </row>
    <row r="154" spans="1:5" x14ac:dyDescent="0.25">
      <c r="A154" s="33"/>
      <c r="B154" s="33"/>
      <c r="C154" s="33"/>
      <c r="D154" s="33"/>
      <c r="E154" s="33"/>
    </row>
    <row r="155" spans="1:5" x14ac:dyDescent="0.25">
      <c r="A155" s="33"/>
      <c r="B155" s="33"/>
      <c r="C155" s="33"/>
      <c r="D155" s="33"/>
      <c r="E155" s="33"/>
    </row>
    <row r="156" spans="1:5" x14ac:dyDescent="0.25">
      <c r="A156" s="33"/>
      <c r="B156" s="33"/>
      <c r="C156" s="33"/>
      <c r="D156" s="33"/>
      <c r="E156" s="33"/>
    </row>
    <row r="157" spans="1:5" x14ac:dyDescent="0.25">
      <c r="A157" s="33"/>
      <c r="B157" s="33"/>
      <c r="C157" s="33"/>
      <c r="D157" s="33"/>
      <c r="E157" s="33"/>
    </row>
    <row r="158" spans="1:5" x14ac:dyDescent="0.25">
      <c r="A158" s="33"/>
      <c r="B158" s="33"/>
      <c r="C158" s="33"/>
      <c r="D158" s="33"/>
      <c r="E158" s="33"/>
    </row>
    <row r="159" spans="1:5" x14ac:dyDescent="0.25">
      <c r="A159" s="33"/>
      <c r="B159" s="33"/>
      <c r="C159" s="33"/>
      <c r="D159" s="33"/>
      <c r="E159" s="33"/>
    </row>
    <row r="160" spans="1:5" x14ac:dyDescent="0.25">
      <c r="A160" s="33"/>
      <c r="B160" s="33"/>
      <c r="C160" s="33"/>
      <c r="D160" s="33"/>
      <c r="E160" s="33"/>
    </row>
    <row r="161" spans="1:5" x14ac:dyDescent="0.25">
      <c r="A161" s="33"/>
      <c r="B161" s="33"/>
      <c r="C161" s="33"/>
      <c r="D161" s="33"/>
      <c r="E161" s="33"/>
    </row>
    <row r="162" spans="1:5" x14ac:dyDescent="0.25">
      <c r="A162" s="33"/>
      <c r="B162" s="33"/>
      <c r="C162" s="33"/>
      <c r="D162" s="33"/>
      <c r="E162" s="33"/>
    </row>
    <row r="163" spans="1:5" x14ac:dyDescent="0.25">
      <c r="A163" s="33"/>
      <c r="B163" s="33"/>
      <c r="C163" s="33"/>
      <c r="D163" s="33"/>
      <c r="E163" s="33"/>
    </row>
    <row r="164" spans="1:5" x14ac:dyDescent="0.25">
      <c r="A164" s="33"/>
      <c r="B164" s="33"/>
      <c r="C164" s="33"/>
      <c r="D164" s="33"/>
      <c r="E164" s="33"/>
    </row>
    <row r="165" spans="1:5" x14ac:dyDescent="0.25">
      <c r="A165" s="33"/>
      <c r="B165" s="33"/>
      <c r="C165" s="33"/>
      <c r="D165" s="33"/>
      <c r="E165" s="33"/>
    </row>
    <row r="166" spans="1:5" x14ac:dyDescent="0.25">
      <c r="A166" s="33"/>
      <c r="B166" s="33"/>
      <c r="C166" s="33"/>
      <c r="D166" s="33"/>
      <c r="E166" s="33"/>
    </row>
    <row r="167" spans="1:5" x14ac:dyDescent="0.25">
      <c r="A167" s="33"/>
      <c r="B167" s="33"/>
      <c r="C167" s="33"/>
      <c r="D167" s="33"/>
      <c r="E167" s="33"/>
    </row>
    <row r="168" spans="1:5" x14ac:dyDescent="0.25">
      <c r="A168" s="33"/>
      <c r="B168" s="33"/>
      <c r="C168" s="33"/>
      <c r="D168" s="33"/>
      <c r="E168" s="33"/>
    </row>
    <row r="169" spans="1:5" x14ac:dyDescent="0.25">
      <c r="A169" s="33"/>
      <c r="B169" s="33"/>
      <c r="C169" s="33"/>
      <c r="D169" s="33"/>
      <c r="E169" s="33"/>
    </row>
    <row r="170" spans="1:5" x14ac:dyDescent="0.25">
      <c r="A170" s="33"/>
      <c r="B170" s="33"/>
      <c r="C170" s="33"/>
      <c r="D170" s="33"/>
      <c r="E170" s="33"/>
    </row>
    <row r="171" spans="1:5" x14ac:dyDescent="0.25">
      <c r="A171" s="33"/>
      <c r="B171" s="33"/>
      <c r="C171" s="33"/>
      <c r="D171" s="33"/>
      <c r="E171" s="33"/>
    </row>
    <row r="172" spans="1:5" x14ac:dyDescent="0.25">
      <c r="A172" s="33"/>
      <c r="B172" s="33"/>
      <c r="C172" s="33"/>
      <c r="D172" s="33"/>
      <c r="E172" s="33"/>
    </row>
    <row r="173" spans="1:5" x14ac:dyDescent="0.25">
      <c r="A173" s="33"/>
      <c r="B173" s="33"/>
      <c r="C173" s="33"/>
      <c r="D173" s="33"/>
      <c r="E173" s="33"/>
    </row>
    <row r="174" spans="1:5" x14ac:dyDescent="0.25">
      <c r="A174" s="33"/>
      <c r="B174" s="33"/>
      <c r="C174" s="33"/>
      <c r="D174" s="33"/>
      <c r="E174" s="33"/>
    </row>
    <row r="175" spans="1:5" x14ac:dyDescent="0.25">
      <c r="A175" s="33"/>
      <c r="B175" s="33"/>
      <c r="C175" s="33"/>
      <c r="D175" s="33"/>
      <c r="E175" s="33"/>
    </row>
    <row r="176" spans="1:5" x14ac:dyDescent="0.25">
      <c r="A176" s="33"/>
      <c r="B176" s="33"/>
      <c r="C176" s="33"/>
      <c r="D176" s="33"/>
      <c r="E176" s="33"/>
    </row>
    <row r="177" spans="1:5" x14ac:dyDescent="0.25">
      <c r="A177" s="33"/>
      <c r="B177" s="33"/>
      <c r="C177" s="33"/>
      <c r="D177" s="33"/>
      <c r="E177" s="33"/>
    </row>
    <row r="178" spans="1:5" x14ac:dyDescent="0.25">
      <c r="A178" s="33"/>
      <c r="B178" s="33"/>
      <c r="C178" s="33"/>
      <c r="D178" s="33"/>
      <c r="E178" s="33"/>
    </row>
    <row r="179" spans="1:5" x14ac:dyDescent="0.25">
      <c r="A179" s="33"/>
      <c r="B179" s="33"/>
      <c r="C179" s="33"/>
      <c r="D179" s="33"/>
      <c r="E179" s="33"/>
    </row>
    <row r="180" spans="1:5" x14ac:dyDescent="0.25">
      <c r="A180" s="33"/>
      <c r="B180" s="33"/>
      <c r="C180" s="33"/>
      <c r="D180" s="33"/>
      <c r="E180" s="33"/>
    </row>
    <row r="181" spans="1:5" x14ac:dyDescent="0.25">
      <c r="A181" s="33"/>
      <c r="B181" s="33"/>
      <c r="C181" s="33"/>
      <c r="D181" s="33"/>
      <c r="E181" s="33"/>
    </row>
    <row r="182" spans="1:5" x14ac:dyDescent="0.25">
      <c r="A182" s="33"/>
      <c r="B182" s="33"/>
      <c r="C182" s="33"/>
      <c r="D182" s="33"/>
      <c r="E182" s="33"/>
    </row>
    <row r="183" spans="1:5" x14ac:dyDescent="0.25">
      <c r="A183" s="33"/>
      <c r="B183" s="33"/>
      <c r="C183" s="33"/>
      <c r="D183" s="33"/>
      <c r="E183" s="33"/>
    </row>
    <row r="184" spans="1:5" x14ac:dyDescent="0.25">
      <c r="A184" s="33"/>
      <c r="B184" s="33"/>
      <c r="C184" s="33"/>
      <c r="D184" s="33"/>
      <c r="E184" s="33"/>
    </row>
    <row r="185" spans="1:5" x14ac:dyDescent="0.25">
      <c r="A185" s="33"/>
      <c r="B185" s="33"/>
      <c r="C185" s="33"/>
      <c r="D185" s="33"/>
      <c r="E185" s="33"/>
    </row>
    <row r="186" spans="1:5" x14ac:dyDescent="0.25">
      <c r="A186" s="33"/>
      <c r="B186" s="33"/>
      <c r="C186" s="33"/>
      <c r="D186" s="33"/>
      <c r="E186" s="33"/>
    </row>
    <row r="187" spans="1:5" x14ac:dyDescent="0.25">
      <c r="A187" s="33"/>
      <c r="B187" s="33"/>
      <c r="C187" s="33"/>
      <c r="D187" s="33"/>
      <c r="E187" s="33"/>
    </row>
    <row r="188" spans="1:5" x14ac:dyDescent="0.25">
      <c r="A188" s="33"/>
      <c r="B188" s="33"/>
      <c r="C188" s="33"/>
      <c r="D188" s="33"/>
      <c r="E188" s="33"/>
    </row>
    <row r="189" spans="1:5" x14ac:dyDescent="0.25">
      <c r="A189" s="33"/>
      <c r="B189" s="33"/>
      <c r="C189" s="33"/>
      <c r="D189" s="33"/>
      <c r="E189" s="33"/>
    </row>
    <row r="190" spans="1:5" x14ac:dyDescent="0.25">
      <c r="A190" s="33"/>
      <c r="B190" s="33"/>
      <c r="C190" s="33"/>
      <c r="D190" s="33"/>
      <c r="E190" s="33"/>
    </row>
    <row r="191" spans="1:5" x14ac:dyDescent="0.25">
      <c r="A191" s="33"/>
      <c r="B191" s="33"/>
      <c r="C191" s="33"/>
      <c r="D191" s="33"/>
      <c r="E191" s="33"/>
    </row>
    <row r="192" spans="1:5" x14ac:dyDescent="0.25">
      <c r="A192" s="33"/>
      <c r="B192" s="33"/>
      <c r="C192" s="33"/>
      <c r="D192" s="33"/>
      <c r="E192" s="33"/>
    </row>
    <row r="193" spans="1:5" x14ac:dyDescent="0.25">
      <c r="A193" s="33"/>
      <c r="B193" s="33"/>
      <c r="C193" s="33"/>
      <c r="D193" s="33"/>
      <c r="E193" s="33"/>
    </row>
    <row r="194" spans="1:5" x14ac:dyDescent="0.25">
      <c r="A194" s="33"/>
      <c r="B194" s="33"/>
      <c r="C194" s="33"/>
      <c r="D194" s="33"/>
      <c r="E194" s="33"/>
    </row>
    <row r="195" spans="1:5" x14ac:dyDescent="0.25">
      <c r="A195" s="33"/>
      <c r="B195" s="33"/>
      <c r="C195" s="33"/>
      <c r="D195" s="33"/>
      <c r="E195" s="33"/>
    </row>
    <row r="196" spans="1:5" x14ac:dyDescent="0.25">
      <c r="A196" s="33"/>
      <c r="B196" s="33"/>
      <c r="C196" s="33"/>
      <c r="D196" s="33"/>
      <c r="E196" s="33"/>
    </row>
    <row r="197" spans="1:5" x14ac:dyDescent="0.25">
      <c r="A197" s="33"/>
      <c r="B197" s="33"/>
      <c r="C197" s="33"/>
      <c r="D197" s="33"/>
      <c r="E197" s="33"/>
    </row>
    <row r="198" spans="1:5" x14ac:dyDescent="0.25">
      <c r="A198" s="33"/>
      <c r="B198" s="33"/>
      <c r="C198" s="33"/>
      <c r="D198" s="33"/>
      <c r="E198" s="33"/>
    </row>
    <row r="199" spans="1:5" x14ac:dyDescent="0.25">
      <c r="A199" s="33"/>
      <c r="B199" s="33"/>
      <c r="C199" s="33"/>
      <c r="D199" s="33"/>
      <c r="E199" s="33"/>
    </row>
    <row r="200" spans="1:5" x14ac:dyDescent="0.25">
      <c r="A200" s="33"/>
      <c r="B200" s="33"/>
      <c r="C200" s="33"/>
      <c r="D200" s="33"/>
      <c r="E200" s="33"/>
    </row>
    <row r="201" spans="1:5" x14ac:dyDescent="0.25">
      <c r="A201" s="33"/>
      <c r="B201" s="33"/>
      <c r="C201" s="33"/>
      <c r="D201" s="33"/>
      <c r="E201" s="33"/>
    </row>
    <row r="202" spans="1:5" x14ac:dyDescent="0.25">
      <c r="A202" s="33"/>
      <c r="B202" s="33"/>
      <c r="C202" s="33"/>
      <c r="D202" s="33"/>
      <c r="E202" s="33"/>
    </row>
    <row r="203" spans="1:5" x14ac:dyDescent="0.25">
      <c r="A203" s="33"/>
      <c r="B203" s="33"/>
      <c r="C203" s="33"/>
      <c r="D203" s="33"/>
      <c r="E203" s="33"/>
    </row>
    <row r="204" spans="1:5" x14ac:dyDescent="0.25">
      <c r="A204" s="33"/>
      <c r="B204" s="33"/>
      <c r="C204" s="33"/>
      <c r="D204" s="33"/>
      <c r="E204" s="33"/>
    </row>
    <row r="205" spans="1:5" x14ac:dyDescent="0.25">
      <c r="A205" s="33"/>
      <c r="B205" s="33"/>
      <c r="C205" s="33"/>
      <c r="D205" s="33"/>
      <c r="E205" s="33"/>
    </row>
    <row r="206" spans="1:5" x14ac:dyDescent="0.25">
      <c r="A206" s="33"/>
      <c r="B206" s="33"/>
      <c r="C206" s="33"/>
      <c r="D206" s="33"/>
      <c r="E206" s="33"/>
    </row>
    <row r="207" spans="1:5" x14ac:dyDescent="0.25">
      <c r="A207" s="33"/>
      <c r="B207" s="33"/>
      <c r="C207" s="33"/>
      <c r="D207" s="33"/>
      <c r="E207" s="33"/>
    </row>
    <row r="208" spans="1:5" x14ac:dyDescent="0.25">
      <c r="A208" s="33"/>
      <c r="B208" s="33"/>
      <c r="C208" s="33"/>
      <c r="D208" s="33"/>
      <c r="E208" s="33"/>
    </row>
    <row r="209" spans="1:5" x14ac:dyDescent="0.25">
      <c r="A209" s="33"/>
      <c r="B209" s="33"/>
      <c r="C209" s="33"/>
      <c r="D209" s="33"/>
      <c r="E209" s="33"/>
    </row>
    <row r="210" spans="1:5" x14ac:dyDescent="0.25">
      <c r="A210" s="33"/>
      <c r="B210" s="33"/>
      <c r="C210" s="33"/>
      <c r="D210" s="33"/>
      <c r="E210" s="33"/>
    </row>
    <row r="211" spans="1:5" x14ac:dyDescent="0.25">
      <c r="A211" s="33"/>
      <c r="B211" s="33"/>
      <c r="C211" s="33"/>
      <c r="D211" s="33"/>
      <c r="E211" s="33"/>
    </row>
    <row r="212" spans="1:5" x14ac:dyDescent="0.25">
      <c r="A212" s="33"/>
      <c r="B212" s="33"/>
      <c r="C212" s="33"/>
      <c r="D212" s="33"/>
      <c r="E212" s="33"/>
    </row>
    <row r="213" spans="1:5" x14ac:dyDescent="0.25">
      <c r="A213" s="33"/>
      <c r="B213" s="33"/>
      <c r="C213" s="33"/>
      <c r="D213" s="33"/>
      <c r="E213" s="33"/>
    </row>
    <row r="214" spans="1:5" x14ac:dyDescent="0.25">
      <c r="A214" s="33"/>
      <c r="B214" s="33"/>
      <c r="C214" s="33"/>
      <c r="D214" s="33"/>
      <c r="E214" s="33"/>
    </row>
    <row r="215" spans="1:5" x14ac:dyDescent="0.25">
      <c r="A215" s="33"/>
      <c r="B215" s="33"/>
      <c r="C215" s="33"/>
      <c r="D215" s="33"/>
      <c r="E215" s="33"/>
    </row>
    <row r="216" spans="1:5" x14ac:dyDescent="0.25">
      <c r="A216" s="33"/>
      <c r="B216" s="33"/>
      <c r="C216" s="33"/>
      <c r="D216" s="33"/>
      <c r="E216" s="33"/>
    </row>
    <row r="217" spans="1:5" x14ac:dyDescent="0.25">
      <c r="A217" s="33"/>
      <c r="B217" s="33"/>
      <c r="C217" s="33"/>
      <c r="D217" s="33"/>
      <c r="E217" s="33"/>
    </row>
    <row r="218" spans="1:5" x14ac:dyDescent="0.25">
      <c r="A218" s="33"/>
      <c r="B218" s="33"/>
      <c r="C218" s="33"/>
      <c r="D218" s="33"/>
      <c r="E218" s="33"/>
    </row>
    <row r="219" spans="1:5" x14ac:dyDescent="0.25">
      <c r="A219" s="33"/>
      <c r="B219" s="33"/>
      <c r="C219" s="33"/>
      <c r="D219" s="33"/>
      <c r="E219" s="33"/>
    </row>
    <row r="220" spans="1:5" x14ac:dyDescent="0.25">
      <c r="A220" s="33"/>
      <c r="B220" s="33"/>
      <c r="C220" s="33"/>
      <c r="D220" s="33"/>
      <c r="E220" s="33"/>
    </row>
    <row r="221" spans="1:5" x14ac:dyDescent="0.25">
      <c r="A221" s="33"/>
      <c r="B221" s="33"/>
      <c r="C221" s="33"/>
      <c r="D221" s="33"/>
      <c r="E221" s="33"/>
    </row>
    <row r="222" spans="1:5" x14ac:dyDescent="0.25">
      <c r="A222" s="33"/>
      <c r="B222" s="33"/>
      <c r="C222" s="33"/>
      <c r="D222" s="33"/>
      <c r="E222" s="33"/>
    </row>
    <row r="223" spans="1:5" x14ac:dyDescent="0.25">
      <c r="A223" s="33"/>
      <c r="B223" s="33"/>
      <c r="C223" s="33"/>
      <c r="D223" s="33"/>
      <c r="E223" s="33"/>
    </row>
    <row r="224" spans="1:5" x14ac:dyDescent="0.25">
      <c r="A224" s="33"/>
      <c r="B224" s="33"/>
      <c r="C224" s="33"/>
      <c r="D224" s="33"/>
      <c r="E224" s="33"/>
    </row>
    <row r="225" spans="1:5" x14ac:dyDescent="0.25">
      <c r="A225" s="33"/>
      <c r="B225" s="33"/>
      <c r="C225" s="33"/>
      <c r="D225" s="33"/>
      <c r="E225" s="33"/>
    </row>
    <row r="226" spans="1:5" x14ac:dyDescent="0.25">
      <c r="A226" s="33"/>
      <c r="B226" s="33"/>
      <c r="C226" s="33"/>
      <c r="D226" s="33"/>
      <c r="E226" s="33"/>
    </row>
    <row r="227" spans="1:5" x14ac:dyDescent="0.25">
      <c r="A227" s="33"/>
      <c r="B227" s="33"/>
      <c r="C227" s="33"/>
      <c r="D227" s="33"/>
      <c r="E227" s="33"/>
    </row>
    <row r="228" spans="1:5" x14ac:dyDescent="0.25">
      <c r="A228" s="33"/>
      <c r="B228" s="33"/>
      <c r="C228" s="33"/>
      <c r="D228" s="33"/>
      <c r="E228" s="33"/>
    </row>
    <row r="229" spans="1:5" x14ac:dyDescent="0.25">
      <c r="A229" s="33"/>
      <c r="B229" s="33"/>
      <c r="C229" s="33"/>
      <c r="D229" s="33"/>
      <c r="E229" s="33"/>
    </row>
    <row r="230" spans="1:5" x14ac:dyDescent="0.25">
      <c r="A230" s="33"/>
      <c r="B230" s="33"/>
      <c r="C230" s="33"/>
      <c r="D230" s="33"/>
      <c r="E230" s="33"/>
    </row>
    <row r="231" spans="1:5" x14ac:dyDescent="0.25">
      <c r="A231" s="33"/>
      <c r="B231" s="33"/>
      <c r="C231" s="33"/>
      <c r="D231" s="33"/>
      <c r="E231" s="33"/>
    </row>
    <row r="232" spans="1:5" x14ac:dyDescent="0.25">
      <c r="A232" s="33"/>
      <c r="B232" s="33"/>
      <c r="C232" s="33"/>
      <c r="D232" s="33"/>
      <c r="E232" s="33"/>
    </row>
    <row r="233" spans="1:5" x14ac:dyDescent="0.25">
      <c r="A233" s="33"/>
      <c r="B233" s="33"/>
      <c r="C233" s="33"/>
      <c r="D233" s="33"/>
      <c r="E233" s="33"/>
    </row>
    <row r="234" spans="1:5" x14ac:dyDescent="0.25">
      <c r="A234" s="33"/>
      <c r="B234" s="33"/>
      <c r="C234" s="33"/>
      <c r="D234" s="33"/>
      <c r="E234" s="33"/>
    </row>
    <row r="235" spans="1:5" x14ac:dyDescent="0.25">
      <c r="A235" s="33"/>
      <c r="B235" s="33"/>
      <c r="C235" s="33"/>
      <c r="D235" s="33"/>
      <c r="E235" s="33"/>
    </row>
    <row r="236" spans="1:5" x14ac:dyDescent="0.25">
      <c r="A236" s="33"/>
      <c r="B236" s="33"/>
      <c r="C236" s="33"/>
      <c r="D236" s="33"/>
      <c r="E236" s="33"/>
    </row>
    <row r="237" spans="1:5" x14ac:dyDescent="0.25">
      <c r="A237" s="33"/>
      <c r="B237" s="33"/>
      <c r="C237" s="33"/>
      <c r="D237" s="33"/>
      <c r="E237" s="33"/>
    </row>
    <row r="238" spans="1:5" x14ac:dyDescent="0.25">
      <c r="A238" s="33"/>
      <c r="B238" s="33"/>
      <c r="C238" s="33"/>
      <c r="D238" s="33"/>
      <c r="E238" s="33"/>
    </row>
    <row r="239" spans="1:5" x14ac:dyDescent="0.25">
      <c r="A239" s="33"/>
      <c r="B239" s="33"/>
      <c r="C239" s="33"/>
      <c r="D239" s="33"/>
      <c r="E239" s="33"/>
    </row>
    <row r="240" spans="1:5" x14ac:dyDescent="0.25">
      <c r="A240" s="33"/>
      <c r="B240" s="33"/>
      <c r="C240" s="33"/>
      <c r="D240" s="33"/>
      <c r="E240" s="33"/>
    </row>
    <row r="241" spans="1:5" x14ac:dyDescent="0.25">
      <c r="A241" s="33"/>
      <c r="B241" s="33"/>
      <c r="C241" s="33"/>
      <c r="D241" s="33"/>
      <c r="E241" s="33"/>
    </row>
    <row r="242" spans="1:5" x14ac:dyDescent="0.25">
      <c r="A242" s="33"/>
      <c r="B242" s="33"/>
      <c r="C242" s="33"/>
      <c r="D242" s="33"/>
      <c r="E242" s="33"/>
    </row>
    <row r="243" spans="1:5" x14ac:dyDescent="0.25">
      <c r="A243" s="33"/>
      <c r="B243" s="33"/>
      <c r="C243" s="33"/>
      <c r="D243" s="33"/>
      <c r="E243" s="33"/>
    </row>
    <row r="244" spans="1:5" x14ac:dyDescent="0.25">
      <c r="A244" s="33"/>
      <c r="B244" s="33"/>
      <c r="C244" s="33"/>
      <c r="D244" s="33"/>
      <c r="E244" s="33"/>
    </row>
    <row r="245" spans="1:5" x14ac:dyDescent="0.25">
      <c r="A245" s="33"/>
      <c r="B245" s="33"/>
      <c r="C245" s="33"/>
      <c r="D245" s="33"/>
      <c r="E245" s="33"/>
    </row>
    <row r="246" spans="1:5" x14ac:dyDescent="0.25">
      <c r="A246" s="33"/>
      <c r="B246" s="33"/>
      <c r="C246" s="33"/>
      <c r="D246" s="33"/>
      <c r="E246" s="33"/>
    </row>
    <row r="247" spans="1:5" x14ac:dyDescent="0.25">
      <c r="A247" s="33"/>
      <c r="B247" s="33"/>
      <c r="C247" s="33"/>
      <c r="D247" s="33"/>
      <c r="E247" s="33"/>
    </row>
    <row r="248" spans="1:5" x14ac:dyDescent="0.25">
      <c r="A248" s="33"/>
      <c r="B248" s="33"/>
      <c r="C248" s="33"/>
      <c r="D248" s="33"/>
      <c r="E248" s="33"/>
    </row>
    <row r="249" spans="1:5" x14ac:dyDescent="0.25">
      <c r="A249" s="33"/>
      <c r="B249" s="33"/>
      <c r="C249" s="33"/>
      <c r="D249" s="33"/>
      <c r="E249" s="33"/>
    </row>
    <row r="250" spans="1:5" x14ac:dyDescent="0.25">
      <c r="A250" s="33"/>
      <c r="B250" s="33"/>
      <c r="C250" s="33"/>
      <c r="D250" s="33"/>
      <c r="E250" s="33"/>
    </row>
    <row r="251" spans="1:5" x14ac:dyDescent="0.25">
      <c r="A251" s="33"/>
      <c r="B251" s="33"/>
      <c r="C251" s="33"/>
      <c r="D251" s="33"/>
      <c r="E251" s="33"/>
    </row>
    <row r="252" spans="1:5" x14ac:dyDescent="0.25">
      <c r="A252" s="33"/>
      <c r="B252" s="33"/>
      <c r="C252" s="33"/>
      <c r="D252" s="33"/>
      <c r="E252" s="33"/>
    </row>
    <row r="253" spans="1:5" x14ac:dyDescent="0.25">
      <c r="A253" s="33"/>
      <c r="B253" s="33"/>
      <c r="C253" s="33"/>
      <c r="D253" s="33"/>
      <c r="E253" s="33"/>
    </row>
    <row r="254" spans="1:5" x14ac:dyDescent="0.25">
      <c r="A254" s="33"/>
      <c r="B254" s="33"/>
      <c r="C254" s="33"/>
      <c r="D254" s="33"/>
      <c r="E254" s="33"/>
    </row>
    <row r="255" spans="1:5" x14ac:dyDescent="0.25">
      <c r="A255" s="33"/>
      <c r="B255" s="33"/>
      <c r="C255" s="33"/>
      <c r="D255" s="33"/>
      <c r="E255" s="33"/>
    </row>
    <row r="256" spans="1:5" x14ac:dyDescent="0.25">
      <c r="A256" s="33"/>
      <c r="B256" s="33"/>
      <c r="C256" s="33"/>
      <c r="D256" s="33"/>
      <c r="E256" s="33"/>
    </row>
    <row r="257" spans="1:5" x14ac:dyDescent="0.25">
      <c r="A257" s="33"/>
      <c r="B257" s="33"/>
      <c r="C257" s="33"/>
      <c r="D257" s="33"/>
      <c r="E257" s="33"/>
    </row>
    <row r="258" spans="1:5" x14ac:dyDescent="0.25">
      <c r="A258" s="33"/>
      <c r="B258" s="33"/>
      <c r="C258" s="33"/>
      <c r="D258" s="33"/>
      <c r="E258" s="33"/>
    </row>
    <row r="259" spans="1:5" x14ac:dyDescent="0.25">
      <c r="A259" s="33"/>
      <c r="B259" s="33"/>
      <c r="C259" s="33"/>
      <c r="D259" s="33"/>
      <c r="E259" s="33"/>
    </row>
    <row r="260" spans="1:5" x14ac:dyDescent="0.25">
      <c r="A260" s="33"/>
      <c r="B260" s="33"/>
      <c r="C260" s="33"/>
      <c r="D260" s="33"/>
      <c r="E260" s="33"/>
    </row>
    <row r="261" spans="1:5" x14ac:dyDescent="0.25">
      <c r="A261" s="33"/>
      <c r="B261" s="33"/>
      <c r="C261" s="33"/>
      <c r="D261" s="33"/>
      <c r="E261" s="33"/>
    </row>
    <row r="262" spans="1:5" x14ac:dyDescent="0.25">
      <c r="A262" s="33"/>
      <c r="B262" s="33"/>
      <c r="C262" s="33"/>
      <c r="D262" s="33"/>
      <c r="E262" s="33"/>
    </row>
    <row r="263" spans="1:5" x14ac:dyDescent="0.25">
      <c r="A263" s="33"/>
      <c r="B263" s="33"/>
      <c r="C263" s="33"/>
      <c r="D263" s="33"/>
      <c r="E263" s="33"/>
    </row>
    <row r="264" spans="1:5" x14ac:dyDescent="0.25">
      <c r="A264" s="33"/>
      <c r="B264" s="33"/>
      <c r="C264" s="33"/>
      <c r="D264" s="33"/>
      <c r="E264" s="33"/>
    </row>
    <row r="265" spans="1:5" x14ac:dyDescent="0.25">
      <c r="A265" s="33"/>
      <c r="B265" s="33"/>
      <c r="C265" s="33"/>
      <c r="D265" s="33"/>
      <c r="E265" s="33"/>
    </row>
    <row r="266" spans="1:5" x14ac:dyDescent="0.25">
      <c r="A266" s="33"/>
      <c r="B266" s="33"/>
      <c r="C266" s="33"/>
      <c r="D266" s="33"/>
      <c r="E266" s="33"/>
    </row>
    <row r="267" spans="1:5" x14ac:dyDescent="0.25">
      <c r="A267" s="33"/>
      <c r="B267" s="33"/>
      <c r="C267" s="33"/>
      <c r="D267" s="33"/>
      <c r="E267" s="33"/>
    </row>
    <row r="268" spans="1:5" x14ac:dyDescent="0.25">
      <c r="A268" s="33"/>
      <c r="B268" s="33"/>
      <c r="C268" s="33"/>
      <c r="D268" s="33"/>
      <c r="E268" s="33"/>
    </row>
    <row r="269" spans="1:5" x14ac:dyDescent="0.25">
      <c r="A269" s="33"/>
      <c r="B269" s="33"/>
      <c r="C269" s="33"/>
      <c r="D269" s="33"/>
      <c r="E269" s="33"/>
    </row>
    <row r="270" spans="1:5" x14ac:dyDescent="0.25">
      <c r="A270" s="33"/>
      <c r="B270" s="33"/>
      <c r="C270" s="33"/>
      <c r="D270" s="33"/>
      <c r="E270" s="33"/>
    </row>
    <row r="271" spans="1:5" x14ac:dyDescent="0.25">
      <c r="A271" s="33"/>
      <c r="B271" s="33"/>
      <c r="C271" s="33"/>
      <c r="D271" s="33"/>
      <c r="E271" s="33"/>
    </row>
    <row r="272" spans="1:5" x14ac:dyDescent="0.25">
      <c r="A272" s="33"/>
      <c r="B272" s="33"/>
      <c r="C272" s="33"/>
      <c r="D272" s="33"/>
      <c r="E272" s="33"/>
    </row>
    <row r="273" spans="1:5" x14ac:dyDescent="0.25">
      <c r="A273" s="33"/>
      <c r="B273" s="33"/>
      <c r="C273" s="33"/>
      <c r="D273" s="33"/>
      <c r="E273" s="33"/>
    </row>
    <row r="274" spans="1:5" x14ac:dyDescent="0.25">
      <c r="A274" s="33"/>
      <c r="B274" s="33"/>
      <c r="C274" s="33"/>
      <c r="D274" s="33"/>
      <c r="E274" s="33"/>
    </row>
    <row r="275" spans="1:5" x14ac:dyDescent="0.25">
      <c r="A275" s="33"/>
      <c r="B275" s="33"/>
      <c r="C275" s="33"/>
      <c r="D275" s="33"/>
      <c r="E275" s="33"/>
    </row>
    <row r="276" spans="1:5" x14ac:dyDescent="0.25">
      <c r="A276" s="33"/>
      <c r="B276" s="33"/>
      <c r="C276" s="33"/>
      <c r="D276" s="33"/>
      <c r="E276" s="33"/>
    </row>
    <row r="277" spans="1:5" x14ac:dyDescent="0.25">
      <c r="A277" s="33"/>
      <c r="B277" s="33"/>
      <c r="C277" s="33"/>
      <c r="D277" s="33"/>
      <c r="E277" s="33"/>
    </row>
    <row r="278" spans="1:5" x14ac:dyDescent="0.25">
      <c r="A278" s="33"/>
      <c r="B278" s="33"/>
      <c r="C278" s="33"/>
      <c r="D278" s="33"/>
      <c r="E278" s="33"/>
    </row>
    <row r="279" spans="1:5" x14ac:dyDescent="0.25">
      <c r="A279" s="33"/>
      <c r="B279" s="33"/>
      <c r="C279" s="33"/>
      <c r="D279" s="33"/>
      <c r="E279" s="33"/>
    </row>
    <row r="280" spans="1:5" x14ac:dyDescent="0.25">
      <c r="A280" s="33"/>
      <c r="B280" s="33"/>
      <c r="C280" s="33"/>
      <c r="D280" s="33"/>
      <c r="E280" s="33"/>
    </row>
    <row r="281" spans="1:5" x14ac:dyDescent="0.25">
      <c r="A281" s="33"/>
      <c r="B281" s="33"/>
      <c r="C281" s="33"/>
      <c r="D281" s="33"/>
      <c r="E281" s="33"/>
    </row>
    <row r="282" spans="1:5" x14ac:dyDescent="0.25">
      <c r="A282" s="33"/>
      <c r="B282" s="33"/>
      <c r="C282" s="33"/>
      <c r="D282" s="33"/>
      <c r="E282" s="33"/>
    </row>
    <row r="283" spans="1:5" x14ac:dyDescent="0.25">
      <c r="A283" s="33"/>
      <c r="B283" s="33"/>
      <c r="C283" s="33"/>
      <c r="D283" s="33"/>
      <c r="E283" s="33"/>
    </row>
    <row r="284" spans="1:5" x14ac:dyDescent="0.25">
      <c r="A284" s="33"/>
      <c r="B284" s="33"/>
      <c r="C284" s="33"/>
      <c r="D284" s="33"/>
      <c r="E284" s="33"/>
    </row>
    <row r="285" spans="1:5" x14ac:dyDescent="0.25">
      <c r="A285" s="33"/>
      <c r="B285" s="33"/>
      <c r="C285" s="33"/>
      <c r="D285" s="33"/>
      <c r="E285" s="33"/>
    </row>
    <row r="286" spans="1:5" x14ac:dyDescent="0.25">
      <c r="A286" s="33"/>
      <c r="B286" s="33"/>
      <c r="C286" s="33"/>
      <c r="D286" s="33"/>
      <c r="E286" s="33"/>
    </row>
    <row r="287" spans="1:5" x14ac:dyDescent="0.25">
      <c r="A287" s="33"/>
      <c r="B287" s="33"/>
      <c r="C287" s="33"/>
      <c r="D287" s="33"/>
      <c r="E287" s="33"/>
    </row>
    <row r="288" spans="1:5" x14ac:dyDescent="0.25">
      <c r="A288" s="33"/>
      <c r="B288" s="33"/>
      <c r="C288" s="33"/>
      <c r="D288" s="33"/>
      <c r="E288" s="33"/>
    </row>
    <row r="289" spans="1:5" x14ac:dyDescent="0.25">
      <c r="A289" s="33"/>
      <c r="B289" s="33"/>
      <c r="C289" s="33"/>
      <c r="D289" s="33"/>
      <c r="E289" s="33"/>
    </row>
    <row r="290" spans="1:5" x14ac:dyDescent="0.25">
      <c r="A290" s="33"/>
      <c r="B290" s="33"/>
      <c r="C290" s="33"/>
      <c r="D290" s="33"/>
      <c r="E290" s="33"/>
    </row>
    <row r="291" spans="1:5" x14ac:dyDescent="0.25">
      <c r="A291" s="33"/>
      <c r="B291" s="33"/>
      <c r="C291" s="33"/>
      <c r="D291" s="33"/>
      <c r="E291" s="33"/>
    </row>
    <row r="292" spans="1:5" x14ac:dyDescent="0.25">
      <c r="A292" s="33"/>
      <c r="B292" s="33"/>
      <c r="C292" s="33"/>
      <c r="D292" s="33"/>
      <c r="E292" s="33"/>
    </row>
    <row r="293" spans="1:5" x14ac:dyDescent="0.25">
      <c r="A293" s="33"/>
      <c r="B293" s="33"/>
      <c r="C293" s="33"/>
      <c r="D293" s="33"/>
      <c r="E293" s="33"/>
    </row>
    <row r="294" spans="1:5" x14ac:dyDescent="0.25">
      <c r="A294" s="33"/>
      <c r="B294" s="33"/>
      <c r="C294" s="33"/>
      <c r="D294" s="33"/>
      <c r="E294" s="33"/>
    </row>
    <row r="295" spans="1:5" x14ac:dyDescent="0.25">
      <c r="A295" s="33"/>
      <c r="B295" s="33"/>
      <c r="C295" s="33"/>
      <c r="D295" s="33"/>
      <c r="E295" s="33"/>
    </row>
    <row r="296" spans="1:5" x14ac:dyDescent="0.25">
      <c r="A296" s="33"/>
      <c r="B296" s="33"/>
      <c r="C296" s="33"/>
      <c r="D296" s="33"/>
      <c r="E296" s="33"/>
    </row>
    <row r="297" spans="1:5" x14ac:dyDescent="0.25">
      <c r="A297" s="33"/>
      <c r="B297" s="33"/>
      <c r="C297" s="33"/>
      <c r="D297" s="33"/>
      <c r="E297" s="33"/>
    </row>
    <row r="298" spans="1:5" x14ac:dyDescent="0.25">
      <c r="A298" s="33"/>
      <c r="B298" s="33"/>
      <c r="C298" s="33"/>
      <c r="D298" s="33"/>
      <c r="E298" s="33"/>
    </row>
    <row r="299" spans="1:5" x14ac:dyDescent="0.25">
      <c r="A299" s="33"/>
      <c r="B299" s="33"/>
      <c r="C299" s="33"/>
      <c r="D299" s="33"/>
      <c r="E299" s="33"/>
    </row>
    <row r="300" spans="1:5" x14ac:dyDescent="0.25">
      <c r="A300" s="33"/>
      <c r="B300" s="33"/>
      <c r="C300" s="33"/>
      <c r="D300" s="33"/>
      <c r="E300" s="33"/>
    </row>
    <row r="301" spans="1:5" x14ac:dyDescent="0.25">
      <c r="A301" s="33"/>
      <c r="B301" s="33"/>
      <c r="C301" s="33"/>
      <c r="D301" s="33"/>
      <c r="E301" s="33"/>
    </row>
    <row r="302" spans="1:5" x14ac:dyDescent="0.25">
      <c r="A302" s="33"/>
      <c r="B302" s="33"/>
      <c r="C302" s="33"/>
      <c r="D302" s="33"/>
      <c r="E302" s="33"/>
    </row>
    <row r="303" spans="1:5" x14ac:dyDescent="0.25">
      <c r="A303" s="33"/>
      <c r="B303" s="33"/>
      <c r="C303" s="33"/>
      <c r="D303" s="33"/>
      <c r="E303" s="33"/>
    </row>
    <row r="304" spans="1:5" x14ac:dyDescent="0.25">
      <c r="A304" s="33"/>
      <c r="B304" s="33"/>
      <c r="C304" s="33"/>
      <c r="D304" s="33"/>
      <c r="E304" s="33"/>
    </row>
    <row r="305" spans="1:5" x14ac:dyDescent="0.25">
      <c r="A305" s="33"/>
      <c r="B305" s="33"/>
      <c r="C305" s="33"/>
      <c r="D305" s="33"/>
      <c r="E305" s="33"/>
    </row>
    <row r="306" spans="1:5" x14ac:dyDescent="0.25">
      <c r="A306" s="33"/>
      <c r="B306" s="33"/>
      <c r="C306" s="33"/>
      <c r="D306" s="33"/>
      <c r="E306" s="33"/>
    </row>
    <row r="307" spans="1:5" x14ac:dyDescent="0.25">
      <c r="A307" s="33"/>
      <c r="B307" s="33"/>
      <c r="C307" s="33"/>
      <c r="D307" s="33"/>
      <c r="E307" s="33"/>
    </row>
    <row r="308" spans="1:5" x14ac:dyDescent="0.25">
      <c r="A308" s="33"/>
      <c r="B308" s="33"/>
      <c r="C308" s="33"/>
      <c r="D308" s="33"/>
      <c r="E308" s="33"/>
    </row>
    <row r="309" spans="1:5" x14ac:dyDescent="0.25">
      <c r="A309" s="33"/>
      <c r="B309" s="33"/>
      <c r="C309" s="33"/>
      <c r="D309" s="33"/>
      <c r="E309" s="33"/>
    </row>
    <row r="310" spans="1:5" x14ac:dyDescent="0.25">
      <c r="A310" s="33"/>
      <c r="B310" s="33"/>
      <c r="C310" s="33"/>
      <c r="D310" s="33"/>
      <c r="E310" s="33"/>
    </row>
    <row r="311" spans="1:5" x14ac:dyDescent="0.25">
      <c r="A311" s="33"/>
      <c r="B311" s="33"/>
      <c r="C311" s="33"/>
      <c r="D311" s="33"/>
      <c r="E311" s="33"/>
    </row>
    <row r="312" spans="1:5" x14ac:dyDescent="0.25">
      <c r="A312" s="33"/>
      <c r="B312" s="33"/>
      <c r="C312" s="33"/>
      <c r="D312" s="33"/>
      <c r="E312" s="33"/>
    </row>
    <row r="313" spans="1:5" x14ac:dyDescent="0.25">
      <c r="A313" s="33"/>
      <c r="B313" s="33"/>
      <c r="C313" s="33"/>
      <c r="D313" s="33"/>
      <c r="E313" s="33"/>
    </row>
    <row r="314" spans="1:5" x14ac:dyDescent="0.25">
      <c r="A314" s="33"/>
      <c r="B314" s="33"/>
      <c r="C314" s="33"/>
      <c r="D314" s="33"/>
      <c r="E314" s="33"/>
    </row>
    <row r="315" spans="1:5" x14ac:dyDescent="0.25">
      <c r="A315" s="33"/>
      <c r="B315" s="33"/>
      <c r="C315" s="33"/>
      <c r="D315" s="33"/>
      <c r="E315" s="33"/>
    </row>
    <row r="316" spans="1:5" x14ac:dyDescent="0.25">
      <c r="A316" s="33"/>
      <c r="B316" s="33"/>
      <c r="C316" s="33"/>
      <c r="D316" s="33"/>
      <c r="E316" s="33"/>
    </row>
    <row r="317" spans="1:5" x14ac:dyDescent="0.25">
      <c r="A317" s="33"/>
      <c r="B317" s="33"/>
      <c r="C317" s="33"/>
      <c r="D317" s="33"/>
      <c r="E317" s="33"/>
    </row>
    <row r="318" spans="1:5" x14ac:dyDescent="0.25">
      <c r="A318" s="33"/>
      <c r="B318" s="33"/>
      <c r="C318" s="33"/>
      <c r="D318" s="33"/>
      <c r="E318" s="33"/>
    </row>
    <row r="319" spans="1:5" x14ac:dyDescent="0.25">
      <c r="A319" s="33"/>
      <c r="B319" s="33"/>
      <c r="C319" s="33"/>
      <c r="D319" s="33"/>
      <c r="E319" s="33"/>
    </row>
    <row r="320" spans="1:5" x14ac:dyDescent="0.25">
      <c r="A320" s="33"/>
      <c r="B320" s="33"/>
      <c r="C320" s="33"/>
      <c r="D320" s="33"/>
      <c r="E320" s="33"/>
    </row>
    <row r="321" spans="1:5" x14ac:dyDescent="0.25">
      <c r="A321" s="33"/>
      <c r="B321" s="33"/>
      <c r="C321" s="33"/>
      <c r="D321" s="33"/>
      <c r="E321" s="33"/>
    </row>
    <row r="322" spans="1:5" x14ac:dyDescent="0.25">
      <c r="A322" s="33"/>
      <c r="B322" s="33"/>
      <c r="C322" s="33"/>
      <c r="D322" s="33"/>
      <c r="E322" s="33"/>
    </row>
    <row r="323" spans="1:5" x14ac:dyDescent="0.25">
      <c r="A323" s="33"/>
      <c r="B323" s="33"/>
      <c r="C323" s="33"/>
      <c r="D323" s="33"/>
      <c r="E323" s="33"/>
    </row>
    <row r="324" spans="1:5" x14ac:dyDescent="0.25">
      <c r="A324" s="33"/>
      <c r="B324" s="33"/>
      <c r="C324" s="33"/>
      <c r="D324" s="33"/>
      <c r="E324" s="33"/>
    </row>
    <row r="325" spans="1:5" x14ac:dyDescent="0.25">
      <c r="A325" s="33"/>
      <c r="B325" s="33"/>
      <c r="C325" s="33"/>
      <c r="D325" s="33"/>
      <c r="E325" s="33"/>
    </row>
    <row r="326" spans="1:5" x14ac:dyDescent="0.25">
      <c r="A326" s="33"/>
      <c r="B326" s="33"/>
      <c r="C326" s="33"/>
      <c r="D326" s="33"/>
      <c r="E326" s="33"/>
    </row>
    <row r="327" spans="1:5" x14ac:dyDescent="0.25">
      <c r="A327" s="33"/>
      <c r="B327" s="33"/>
      <c r="C327" s="33"/>
      <c r="D327" s="33"/>
      <c r="E327" s="33"/>
    </row>
    <row r="328" spans="1:5" x14ac:dyDescent="0.25">
      <c r="A328" s="33"/>
      <c r="B328" s="33"/>
      <c r="C328" s="33"/>
      <c r="D328" s="33"/>
      <c r="E328" s="33"/>
    </row>
    <row r="329" spans="1:5" x14ac:dyDescent="0.25">
      <c r="A329" s="33"/>
      <c r="B329" s="33"/>
      <c r="C329" s="33"/>
      <c r="D329" s="33"/>
      <c r="E329" s="33"/>
    </row>
    <row r="330" spans="1:5" x14ac:dyDescent="0.25">
      <c r="A330" s="33"/>
      <c r="B330" s="33"/>
      <c r="C330" s="33"/>
      <c r="D330" s="33"/>
      <c r="E330" s="33"/>
    </row>
    <row r="331" spans="1:5" x14ac:dyDescent="0.25">
      <c r="A331" s="33"/>
      <c r="B331" s="33"/>
      <c r="C331" s="33"/>
      <c r="D331" s="33"/>
      <c r="E331" s="33"/>
    </row>
    <row r="332" spans="1:5" x14ac:dyDescent="0.25">
      <c r="A332" s="33"/>
      <c r="B332" s="33"/>
      <c r="C332" s="33"/>
      <c r="D332" s="33"/>
      <c r="E332" s="33"/>
    </row>
    <row r="333" spans="1:5" x14ac:dyDescent="0.25">
      <c r="A333" s="33"/>
      <c r="B333" s="33"/>
      <c r="C333" s="33"/>
      <c r="D333" s="33"/>
      <c r="E333" s="33"/>
    </row>
    <row r="334" spans="1:5" x14ac:dyDescent="0.25">
      <c r="A334" s="33"/>
      <c r="B334" s="33"/>
      <c r="C334" s="33"/>
      <c r="D334" s="33"/>
      <c r="E334" s="33"/>
    </row>
    <row r="335" spans="1:5" x14ac:dyDescent="0.25">
      <c r="A335" s="33"/>
      <c r="B335" s="33"/>
      <c r="C335" s="33"/>
      <c r="D335" s="33"/>
      <c r="E335" s="33"/>
    </row>
    <row r="336" spans="1:5" x14ac:dyDescent="0.25">
      <c r="A336" s="33"/>
      <c r="B336" s="33"/>
      <c r="C336" s="33"/>
      <c r="D336" s="33"/>
      <c r="E336" s="33"/>
    </row>
    <row r="337" spans="1:5" x14ac:dyDescent="0.25">
      <c r="A337" s="33"/>
      <c r="B337" s="33"/>
      <c r="C337" s="33"/>
      <c r="D337" s="33"/>
      <c r="E337" s="33"/>
    </row>
    <row r="338" spans="1:5" x14ac:dyDescent="0.25">
      <c r="A338" s="33"/>
      <c r="B338" s="33"/>
      <c r="C338" s="33"/>
      <c r="D338" s="33"/>
      <c r="E338" s="33"/>
    </row>
    <row r="339" spans="1:5" x14ac:dyDescent="0.25">
      <c r="A339" s="33"/>
      <c r="B339" s="33"/>
      <c r="C339" s="33"/>
      <c r="D339" s="33"/>
      <c r="E339" s="33"/>
    </row>
    <row r="340" spans="1:5" x14ac:dyDescent="0.25">
      <c r="A340" s="33"/>
      <c r="B340" s="33"/>
      <c r="C340" s="33"/>
      <c r="D340" s="33"/>
      <c r="E340" s="33"/>
    </row>
    <row r="341" spans="1:5" x14ac:dyDescent="0.25">
      <c r="A341" s="33"/>
      <c r="B341" s="33"/>
      <c r="C341" s="33"/>
      <c r="D341" s="33"/>
      <c r="E341" s="33"/>
    </row>
    <row r="342" spans="1:5" x14ac:dyDescent="0.25">
      <c r="A342" s="33"/>
      <c r="B342" s="33"/>
      <c r="C342" s="33"/>
      <c r="D342" s="33"/>
      <c r="E342" s="33"/>
    </row>
    <row r="343" spans="1:5" x14ac:dyDescent="0.25">
      <c r="A343" s="33"/>
      <c r="B343" s="33"/>
      <c r="C343" s="33"/>
      <c r="D343" s="33"/>
      <c r="E343" s="33"/>
    </row>
    <row r="344" spans="1:5" x14ac:dyDescent="0.25">
      <c r="A344" s="33"/>
      <c r="B344" s="33"/>
      <c r="C344" s="33"/>
      <c r="D344" s="33"/>
      <c r="E344" s="33"/>
    </row>
    <row r="345" spans="1:5" x14ac:dyDescent="0.25">
      <c r="A345" s="33"/>
      <c r="B345" s="33"/>
      <c r="C345" s="33"/>
      <c r="D345" s="33"/>
      <c r="E345" s="33"/>
    </row>
    <row r="346" spans="1:5" x14ac:dyDescent="0.25">
      <c r="A346" s="33"/>
      <c r="B346" s="33"/>
      <c r="C346" s="33"/>
      <c r="D346" s="33"/>
      <c r="E346" s="33"/>
    </row>
    <row r="347" spans="1:5" x14ac:dyDescent="0.25">
      <c r="A347" s="33"/>
      <c r="B347" s="33"/>
      <c r="C347" s="33"/>
      <c r="D347" s="33"/>
      <c r="E347" s="33"/>
    </row>
    <row r="348" spans="1:5" x14ac:dyDescent="0.25">
      <c r="A348" s="33"/>
      <c r="B348" s="33"/>
      <c r="C348" s="33"/>
      <c r="D348" s="33"/>
      <c r="E348" s="33"/>
    </row>
    <row r="349" spans="1:5" x14ac:dyDescent="0.25">
      <c r="A349" s="33"/>
      <c r="B349" s="33"/>
      <c r="C349" s="33"/>
      <c r="D349" s="33"/>
      <c r="E349" s="33"/>
    </row>
    <row r="350" spans="1:5" x14ac:dyDescent="0.25">
      <c r="A350" s="33"/>
      <c r="B350" s="33"/>
      <c r="C350" s="33"/>
      <c r="D350" s="33"/>
      <c r="E350" s="33"/>
    </row>
    <row r="351" spans="1:5" x14ac:dyDescent="0.25">
      <c r="A351" s="33"/>
      <c r="B351" s="33"/>
      <c r="C351" s="33"/>
      <c r="D351" s="33"/>
      <c r="E351" s="33"/>
    </row>
    <row r="352" spans="1:5" x14ac:dyDescent="0.25">
      <c r="A352" s="33"/>
      <c r="B352" s="33"/>
      <c r="C352" s="33"/>
      <c r="D352" s="33"/>
      <c r="E352" s="33"/>
    </row>
    <row r="353" spans="1:5" x14ac:dyDescent="0.25">
      <c r="A353" s="33"/>
      <c r="B353" s="33"/>
      <c r="C353" s="33"/>
      <c r="D353" s="33"/>
      <c r="E353" s="33"/>
    </row>
    <row r="354" spans="1:5" x14ac:dyDescent="0.25">
      <c r="A354" s="33"/>
      <c r="B354" s="33"/>
      <c r="C354" s="33"/>
      <c r="D354" s="33"/>
      <c r="E354" s="33"/>
    </row>
    <row r="355" spans="1:5" x14ac:dyDescent="0.25">
      <c r="A355" s="33"/>
      <c r="B355" s="33"/>
      <c r="C355" s="33"/>
      <c r="D355" s="33"/>
      <c r="E355" s="33"/>
    </row>
    <row r="356" spans="1:5" x14ac:dyDescent="0.25">
      <c r="A356" s="33"/>
      <c r="B356" s="33"/>
      <c r="C356" s="33"/>
      <c r="D356" s="33"/>
      <c r="E356" s="33"/>
    </row>
    <row r="357" spans="1:5" x14ac:dyDescent="0.25">
      <c r="A357" s="33"/>
      <c r="B357" s="33"/>
      <c r="C357" s="33"/>
      <c r="D357" s="33"/>
      <c r="E357" s="33"/>
    </row>
    <row r="358" spans="1:5" x14ac:dyDescent="0.25">
      <c r="A358" s="33"/>
      <c r="B358" s="33"/>
      <c r="C358" s="33"/>
      <c r="D358" s="33"/>
      <c r="E358" s="33"/>
    </row>
    <row r="359" spans="1:5" x14ac:dyDescent="0.25">
      <c r="A359" s="33"/>
      <c r="B359" s="33"/>
      <c r="C359" s="33"/>
      <c r="D359" s="33"/>
      <c r="E359" s="33"/>
    </row>
    <row r="360" spans="1:5" x14ac:dyDescent="0.25">
      <c r="A360" s="33"/>
      <c r="B360" s="33"/>
      <c r="C360" s="33"/>
      <c r="D360" s="33"/>
      <c r="E360" s="33"/>
    </row>
    <row r="361" spans="1:5" x14ac:dyDescent="0.25">
      <c r="A361" s="33"/>
      <c r="B361" s="33"/>
      <c r="C361" s="33"/>
      <c r="D361" s="33"/>
      <c r="E361" s="33"/>
    </row>
    <row r="362" spans="1:5" x14ac:dyDescent="0.25">
      <c r="A362" s="33"/>
      <c r="B362" s="33"/>
      <c r="C362" s="33"/>
      <c r="D362" s="33"/>
      <c r="E362" s="33"/>
    </row>
    <row r="363" spans="1:5" x14ac:dyDescent="0.25">
      <c r="A363" s="33"/>
      <c r="B363" s="33"/>
      <c r="C363" s="33"/>
      <c r="D363" s="33"/>
      <c r="E363" s="33"/>
    </row>
    <row r="364" spans="1:5" x14ac:dyDescent="0.25">
      <c r="A364" s="33"/>
      <c r="B364" s="33"/>
      <c r="C364" s="33"/>
      <c r="D364" s="33"/>
      <c r="E364" s="33"/>
    </row>
    <row r="365" spans="1:5" x14ac:dyDescent="0.25">
      <c r="A365" s="33"/>
      <c r="B365" s="33"/>
      <c r="C365" s="33"/>
      <c r="D365" s="33"/>
      <c r="E365" s="33"/>
    </row>
    <row r="366" spans="1:5" x14ac:dyDescent="0.25">
      <c r="A366" s="33"/>
      <c r="B366" s="33"/>
      <c r="C366" s="33"/>
      <c r="D366" s="33"/>
      <c r="E366" s="33"/>
    </row>
    <row r="367" spans="1:5" x14ac:dyDescent="0.25">
      <c r="A367" s="33"/>
      <c r="B367" s="33"/>
      <c r="C367" s="33"/>
      <c r="D367" s="33"/>
      <c r="E367" s="33"/>
    </row>
    <row r="368" spans="1:5" x14ac:dyDescent="0.25">
      <c r="A368" s="33"/>
      <c r="B368" s="33"/>
      <c r="C368" s="33"/>
      <c r="D368" s="33"/>
      <c r="E368" s="33"/>
    </row>
    <row r="369" spans="1:5" x14ac:dyDescent="0.25">
      <c r="A369" s="33"/>
      <c r="B369" s="33"/>
      <c r="C369" s="33"/>
      <c r="D369" s="33"/>
      <c r="E369" s="33"/>
    </row>
    <row r="370" spans="1:5" x14ac:dyDescent="0.25">
      <c r="A370" s="33"/>
      <c r="B370" s="33"/>
      <c r="C370" s="33"/>
      <c r="D370" s="33"/>
      <c r="E370" s="33"/>
    </row>
    <row r="371" spans="1:5" x14ac:dyDescent="0.25">
      <c r="A371" s="33"/>
      <c r="B371" s="33"/>
      <c r="C371" s="33"/>
      <c r="D371" s="33"/>
      <c r="E371" s="33"/>
    </row>
    <row r="372" spans="1:5" x14ac:dyDescent="0.25">
      <c r="A372" s="33"/>
      <c r="B372" s="33"/>
      <c r="C372" s="33"/>
      <c r="D372" s="33"/>
      <c r="E372" s="33"/>
    </row>
    <row r="373" spans="1:5" x14ac:dyDescent="0.25">
      <c r="A373" s="33"/>
      <c r="B373" s="33"/>
      <c r="C373" s="33"/>
      <c r="D373" s="33"/>
      <c r="E373" s="33"/>
    </row>
    <row r="374" spans="1:5" x14ac:dyDescent="0.25">
      <c r="A374" s="33"/>
      <c r="B374" s="33"/>
      <c r="C374" s="33"/>
      <c r="D374" s="33"/>
      <c r="E374" s="33"/>
    </row>
    <row r="375" spans="1:5" x14ac:dyDescent="0.25">
      <c r="A375" s="33"/>
      <c r="B375" s="33"/>
      <c r="C375" s="33"/>
      <c r="D375" s="33"/>
      <c r="E375" s="33"/>
    </row>
    <row r="376" spans="1:5" x14ac:dyDescent="0.25">
      <c r="A376" s="33"/>
      <c r="B376" s="33"/>
      <c r="C376" s="33"/>
      <c r="D376" s="33"/>
      <c r="E376" s="33"/>
    </row>
    <row r="377" spans="1:5" x14ac:dyDescent="0.25">
      <c r="A377" s="33"/>
      <c r="B377" s="33"/>
      <c r="C377" s="33"/>
      <c r="D377" s="33"/>
      <c r="E377" s="33"/>
    </row>
    <row r="378" spans="1:5" x14ac:dyDescent="0.25">
      <c r="A378" s="33"/>
      <c r="B378" s="33"/>
      <c r="C378" s="33"/>
      <c r="D378" s="33"/>
      <c r="E378" s="33"/>
    </row>
    <row r="379" spans="1:5" x14ac:dyDescent="0.25">
      <c r="A379" s="33"/>
      <c r="B379" s="33"/>
      <c r="C379" s="33"/>
      <c r="D379" s="33"/>
      <c r="E379" s="33"/>
    </row>
    <row r="380" spans="1:5" x14ac:dyDescent="0.25">
      <c r="A380" s="33"/>
      <c r="B380" s="33"/>
      <c r="C380" s="33"/>
      <c r="D380" s="33"/>
      <c r="E380" s="33"/>
    </row>
    <row r="381" spans="1:5" x14ac:dyDescent="0.25">
      <c r="A381" s="33"/>
      <c r="B381" s="33"/>
      <c r="C381" s="33"/>
      <c r="D381" s="33"/>
      <c r="E381" s="33"/>
    </row>
    <row r="382" spans="1:5" x14ac:dyDescent="0.25">
      <c r="A382" s="33"/>
      <c r="B382" s="33"/>
      <c r="C382" s="33"/>
      <c r="D382" s="33"/>
      <c r="E382" s="33"/>
    </row>
    <row r="383" spans="1:5" x14ac:dyDescent="0.25">
      <c r="A383" s="33"/>
      <c r="B383" s="33"/>
      <c r="C383" s="33"/>
      <c r="D383" s="33"/>
      <c r="E383" s="33"/>
    </row>
    <row r="384" spans="1:5" x14ac:dyDescent="0.25">
      <c r="A384" s="33"/>
      <c r="B384" s="33"/>
      <c r="C384" s="33"/>
      <c r="D384" s="33"/>
      <c r="E384" s="33"/>
    </row>
    <row r="385" spans="1:5" x14ac:dyDescent="0.25">
      <c r="A385" s="33"/>
      <c r="B385" s="33"/>
      <c r="C385" s="33"/>
      <c r="D385" s="33"/>
      <c r="E385" s="33"/>
    </row>
    <row r="386" spans="1:5" x14ac:dyDescent="0.25">
      <c r="A386" s="33"/>
      <c r="B386" s="33"/>
      <c r="C386" s="33"/>
      <c r="D386" s="33"/>
      <c r="E386" s="33"/>
    </row>
    <row r="387" spans="1:5" x14ac:dyDescent="0.25">
      <c r="A387" s="33"/>
      <c r="B387" s="33"/>
      <c r="C387" s="33"/>
      <c r="D387" s="33"/>
      <c r="E387" s="33"/>
    </row>
    <row r="388" spans="1:5" x14ac:dyDescent="0.25">
      <c r="A388" s="33"/>
      <c r="B388" s="33"/>
      <c r="C388" s="33"/>
      <c r="D388" s="33"/>
      <c r="E388" s="33"/>
    </row>
    <row r="389" spans="1:5" x14ac:dyDescent="0.25">
      <c r="A389" s="33"/>
      <c r="B389" s="33"/>
      <c r="C389" s="33"/>
      <c r="D389" s="33"/>
      <c r="E389" s="33"/>
    </row>
    <row r="390" spans="1:5" x14ac:dyDescent="0.25">
      <c r="A390" s="33"/>
      <c r="B390" s="33"/>
      <c r="C390" s="33"/>
      <c r="D390" s="33"/>
      <c r="E390" s="33"/>
    </row>
    <row r="391" spans="1:5" x14ac:dyDescent="0.25">
      <c r="A391" s="33"/>
      <c r="B391" s="33"/>
      <c r="C391" s="33"/>
      <c r="D391" s="33"/>
      <c r="E391" s="33"/>
    </row>
    <row r="392" spans="1:5" x14ac:dyDescent="0.25">
      <c r="A392" s="33"/>
      <c r="B392" s="33"/>
      <c r="C392" s="33"/>
      <c r="D392" s="33"/>
      <c r="E392" s="33"/>
    </row>
    <row r="393" spans="1:5" x14ac:dyDescent="0.25">
      <c r="A393" s="33"/>
      <c r="B393" s="33"/>
      <c r="C393" s="33"/>
      <c r="D393" s="33"/>
      <c r="E393" s="33"/>
    </row>
    <row r="394" spans="1:5" x14ac:dyDescent="0.25">
      <c r="A394" s="33"/>
      <c r="B394" s="33"/>
      <c r="C394" s="33"/>
      <c r="D394" s="33"/>
      <c r="E394" s="33"/>
    </row>
    <row r="395" spans="1:5" x14ac:dyDescent="0.25">
      <c r="A395" s="33"/>
      <c r="B395" s="33"/>
      <c r="C395" s="33"/>
      <c r="D395" s="33"/>
      <c r="E395" s="33"/>
    </row>
    <row r="396" spans="1:5" x14ac:dyDescent="0.25">
      <c r="A396" s="33"/>
      <c r="B396" s="33"/>
      <c r="C396" s="33"/>
      <c r="D396" s="33"/>
      <c r="E396" s="33"/>
    </row>
    <row r="397" spans="1:5" x14ac:dyDescent="0.25">
      <c r="A397" s="33"/>
      <c r="B397" s="33"/>
      <c r="C397" s="33"/>
      <c r="D397" s="33"/>
      <c r="E397" s="33"/>
    </row>
    <row r="398" spans="1:5" x14ac:dyDescent="0.25">
      <c r="A398" s="33"/>
      <c r="B398" s="33"/>
      <c r="C398" s="33"/>
      <c r="D398" s="33"/>
      <c r="E398" s="33"/>
    </row>
    <row r="399" spans="1:5" x14ac:dyDescent="0.25">
      <c r="A399" s="33"/>
      <c r="B399" s="33"/>
      <c r="C399" s="33"/>
      <c r="D399" s="33"/>
      <c r="E399" s="33"/>
    </row>
    <row r="400" spans="1:5" x14ac:dyDescent="0.25">
      <c r="A400" s="33"/>
      <c r="B400" s="33"/>
      <c r="C400" s="33"/>
      <c r="D400" s="33"/>
      <c r="E400" s="33"/>
    </row>
    <row r="401" spans="1:5" x14ac:dyDescent="0.25">
      <c r="A401" s="33"/>
      <c r="B401" s="33"/>
      <c r="C401" s="33"/>
      <c r="D401" s="33"/>
      <c r="E401" s="33"/>
    </row>
    <row r="402" spans="1:5" x14ac:dyDescent="0.25">
      <c r="A402" s="33"/>
      <c r="B402" s="33"/>
      <c r="C402" s="33"/>
      <c r="D402" s="33"/>
      <c r="E402" s="33"/>
    </row>
    <row r="403" spans="1:5" x14ac:dyDescent="0.25">
      <c r="A403" s="33"/>
      <c r="B403" s="33"/>
      <c r="C403" s="33"/>
      <c r="D403" s="33"/>
      <c r="E403" s="33"/>
    </row>
    <row r="404" spans="1:5" x14ac:dyDescent="0.25">
      <c r="A404" s="33"/>
      <c r="B404" s="33"/>
      <c r="C404" s="33"/>
      <c r="D404" s="33"/>
      <c r="E404" s="33"/>
    </row>
    <row r="405" spans="1:5" x14ac:dyDescent="0.25">
      <c r="A405" s="33"/>
      <c r="B405" s="33"/>
      <c r="C405" s="33"/>
      <c r="D405" s="33"/>
      <c r="E405" s="33"/>
    </row>
    <row r="406" spans="1:5" x14ac:dyDescent="0.25">
      <c r="A406" s="33"/>
      <c r="B406" s="33"/>
      <c r="C406" s="33"/>
      <c r="D406" s="33"/>
      <c r="E406" s="33"/>
    </row>
    <row r="407" spans="1:5" x14ac:dyDescent="0.25">
      <c r="A407" s="33"/>
      <c r="B407" s="33"/>
      <c r="C407" s="33"/>
      <c r="D407" s="33"/>
      <c r="E407" s="33"/>
    </row>
    <row r="408" spans="1:5" x14ac:dyDescent="0.25">
      <c r="A408" s="33"/>
      <c r="B408" s="33"/>
      <c r="C408" s="33"/>
      <c r="D408" s="33"/>
      <c r="E408" s="33"/>
    </row>
    <row r="409" spans="1:5" x14ac:dyDescent="0.25">
      <c r="A409" s="33"/>
      <c r="B409" s="33"/>
      <c r="C409" s="33"/>
      <c r="D409" s="33"/>
      <c r="E409" s="33"/>
    </row>
    <row r="410" spans="1:5" x14ac:dyDescent="0.25">
      <c r="A410" s="33"/>
      <c r="B410" s="33"/>
      <c r="C410" s="33"/>
      <c r="D410" s="33"/>
      <c r="E410" s="33"/>
    </row>
    <row r="411" spans="1:5" x14ac:dyDescent="0.25">
      <c r="A411" s="33"/>
      <c r="B411" s="33"/>
      <c r="C411" s="33"/>
      <c r="D411" s="33"/>
      <c r="E411" s="33"/>
    </row>
    <row r="412" spans="1:5" x14ac:dyDescent="0.25">
      <c r="A412" s="33"/>
      <c r="B412" s="33"/>
      <c r="C412" s="33"/>
      <c r="D412" s="33"/>
      <c r="E412" s="33"/>
    </row>
    <row r="413" spans="1:5" x14ac:dyDescent="0.25">
      <c r="A413" s="33"/>
      <c r="B413" s="33"/>
      <c r="C413" s="33"/>
      <c r="D413" s="33"/>
      <c r="E413" s="33"/>
    </row>
    <row r="414" spans="1:5" x14ac:dyDescent="0.25">
      <c r="A414" s="33"/>
      <c r="B414" s="33"/>
      <c r="C414" s="33"/>
      <c r="D414" s="33"/>
      <c r="E414" s="33"/>
    </row>
    <row r="415" spans="1:5" x14ac:dyDescent="0.25">
      <c r="A415" s="33"/>
      <c r="B415" s="33"/>
      <c r="C415" s="33"/>
      <c r="D415" s="33"/>
      <c r="E415" s="33"/>
    </row>
    <row r="416" spans="1:5" x14ac:dyDescent="0.25">
      <c r="A416" s="33"/>
      <c r="B416" s="33"/>
      <c r="C416" s="33"/>
      <c r="D416" s="33"/>
      <c r="E416" s="33"/>
    </row>
    <row r="417" spans="1:5" x14ac:dyDescent="0.25">
      <c r="A417" s="33"/>
      <c r="B417" s="33"/>
      <c r="C417" s="33"/>
      <c r="D417" s="33"/>
      <c r="E417" s="33"/>
    </row>
    <row r="418" spans="1:5" x14ac:dyDescent="0.25">
      <c r="A418" s="33"/>
      <c r="B418" s="33"/>
      <c r="C418" s="33"/>
      <c r="D418" s="33"/>
      <c r="E418" s="33"/>
    </row>
    <row r="419" spans="1:5" x14ac:dyDescent="0.25">
      <c r="A419" s="33"/>
      <c r="B419" s="33"/>
      <c r="C419" s="33"/>
      <c r="D419" s="33"/>
      <c r="E419" s="33"/>
    </row>
    <row r="420" spans="1:5" x14ac:dyDescent="0.25">
      <c r="A420" s="33"/>
      <c r="B420" s="33"/>
      <c r="C420" s="33"/>
      <c r="D420" s="33"/>
      <c r="E420" s="33"/>
    </row>
    <row r="421" spans="1:5" x14ac:dyDescent="0.25">
      <c r="A421" s="33"/>
      <c r="B421" s="33"/>
      <c r="C421" s="33"/>
      <c r="D421" s="33"/>
      <c r="E421" s="33"/>
    </row>
    <row r="422" spans="1:5" x14ac:dyDescent="0.25">
      <c r="A422" s="33"/>
      <c r="B422" s="33"/>
      <c r="C422" s="33"/>
      <c r="D422" s="33"/>
      <c r="E422" s="33"/>
    </row>
    <row r="423" spans="1:5" x14ac:dyDescent="0.25">
      <c r="A423" s="33"/>
      <c r="B423" s="33"/>
      <c r="C423" s="33"/>
      <c r="D423" s="33"/>
      <c r="E423" s="33"/>
    </row>
    <row r="424" spans="1:5" x14ac:dyDescent="0.25">
      <c r="A424" s="33"/>
      <c r="B424" s="33"/>
      <c r="C424" s="33"/>
      <c r="D424" s="33"/>
      <c r="E424" s="33"/>
    </row>
    <row r="425" spans="1:5" x14ac:dyDescent="0.25">
      <c r="A425" s="33"/>
      <c r="B425" s="33"/>
      <c r="C425" s="33"/>
      <c r="D425" s="33"/>
      <c r="E425" s="33"/>
    </row>
    <row r="426" spans="1:5" x14ac:dyDescent="0.25">
      <c r="A426" s="33"/>
      <c r="B426" s="33"/>
      <c r="C426" s="33"/>
      <c r="D426" s="33"/>
      <c r="E426" s="33"/>
    </row>
    <row r="427" spans="1:5" x14ac:dyDescent="0.25">
      <c r="A427" s="33"/>
      <c r="B427" s="33"/>
      <c r="C427" s="33"/>
      <c r="D427" s="33"/>
      <c r="E427" s="33"/>
    </row>
    <row r="428" spans="1:5" x14ac:dyDescent="0.25">
      <c r="A428" s="33"/>
      <c r="B428" s="33"/>
      <c r="C428" s="33"/>
      <c r="D428" s="33"/>
      <c r="E428" s="33"/>
    </row>
    <row r="429" spans="1:5" x14ac:dyDescent="0.25">
      <c r="A429" s="33"/>
      <c r="B429" s="33"/>
      <c r="C429" s="33"/>
      <c r="D429" s="33"/>
      <c r="E429" s="33"/>
    </row>
    <row r="430" spans="1:5" x14ac:dyDescent="0.25">
      <c r="A430" s="33"/>
      <c r="B430" s="33"/>
      <c r="C430" s="33"/>
      <c r="D430" s="33"/>
      <c r="E430" s="33"/>
    </row>
    <row r="431" spans="1:5" x14ac:dyDescent="0.25">
      <c r="A431" s="33"/>
      <c r="B431" s="33"/>
      <c r="C431" s="33"/>
      <c r="D431" s="33"/>
      <c r="E431" s="33"/>
    </row>
    <row r="432" spans="1:5" x14ac:dyDescent="0.25">
      <c r="A432" s="33"/>
      <c r="B432" s="33"/>
      <c r="C432" s="33"/>
      <c r="D432" s="33"/>
      <c r="E432" s="33"/>
    </row>
    <row r="433" spans="1:5" x14ac:dyDescent="0.25">
      <c r="A433" s="33"/>
      <c r="B433" s="33"/>
      <c r="C433" s="33"/>
      <c r="D433" s="33"/>
      <c r="E433" s="33"/>
    </row>
    <row r="434" spans="1:5" x14ac:dyDescent="0.25">
      <c r="A434" s="33"/>
      <c r="B434" s="33"/>
      <c r="C434" s="33"/>
      <c r="D434" s="33"/>
      <c r="E434" s="33"/>
    </row>
    <row r="435" spans="1:5" x14ac:dyDescent="0.25">
      <c r="A435" s="33"/>
      <c r="B435" s="33"/>
      <c r="C435" s="33"/>
      <c r="D435" s="33"/>
      <c r="E435" s="33"/>
    </row>
    <row r="436" spans="1:5" x14ac:dyDescent="0.25">
      <c r="A436" s="33"/>
      <c r="B436" s="33"/>
      <c r="C436" s="33"/>
      <c r="D436" s="33"/>
      <c r="E436" s="33"/>
    </row>
    <row r="437" spans="1:5" x14ac:dyDescent="0.25">
      <c r="A437" s="33"/>
      <c r="B437" s="33"/>
      <c r="C437" s="33"/>
      <c r="D437" s="33"/>
      <c r="E437" s="33"/>
    </row>
    <row r="438" spans="1:5" x14ac:dyDescent="0.25">
      <c r="A438" s="33"/>
      <c r="B438" s="33"/>
      <c r="C438" s="33"/>
      <c r="D438" s="33"/>
      <c r="E438" s="33"/>
    </row>
    <row r="439" spans="1:5" x14ac:dyDescent="0.25">
      <c r="A439" s="33"/>
      <c r="B439" s="33"/>
      <c r="C439" s="33"/>
      <c r="D439" s="33"/>
      <c r="E439" s="33"/>
    </row>
    <row r="440" spans="1:5" x14ac:dyDescent="0.25">
      <c r="A440" s="33"/>
      <c r="B440" s="33"/>
      <c r="C440" s="33"/>
      <c r="D440" s="33"/>
      <c r="E440" s="33"/>
    </row>
    <row r="441" spans="1:5" x14ac:dyDescent="0.25">
      <c r="A441" s="33"/>
      <c r="B441" s="33"/>
      <c r="C441" s="33"/>
      <c r="D441" s="33"/>
      <c r="E441" s="33"/>
    </row>
    <row r="442" spans="1:5" x14ac:dyDescent="0.25">
      <c r="A442" s="33"/>
      <c r="B442" s="33"/>
      <c r="C442" s="33"/>
      <c r="D442" s="33"/>
      <c r="E442" s="33"/>
    </row>
    <row r="443" spans="1:5" x14ac:dyDescent="0.25">
      <c r="A443" s="33"/>
      <c r="B443" s="33"/>
      <c r="C443" s="33"/>
      <c r="D443" s="33"/>
      <c r="E443" s="33"/>
    </row>
    <row r="444" spans="1:5" x14ac:dyDescent="0.25">
      <c r="A444" s="33"/>
      <c r="B444" s="33"/>
      <c r="C444" s="33"/>
      <c r="D444" s="33"/>
      <c r="E444" s="33"/>
    </row>
    <row r="445" spans="1:5" x14ac:dyDescent="0.25">
      <c r="A445" s="33"/>
      <c r="B445" s="33"/>
      <c r="C445" s="33"/>
      <c r="D445" s="33"/>
      <c r="E445" s="33"/>
    </row>
    <row r="446" spans="1:5" x14ac:dyDescent="0.25">
      <c r="A446" s="33"/>
      <c r="B446" s="33"/>
      <c r="C446" s="33"/>
      <c r="D446" s="33"/>
      <c r="E446" s="33"/>
    </row>
    <row r="447" spans="1:5" x14ac:dyDescent="0.25">
      <c r="A447" s="33"/>
      <c r="B447" s="33"/>
      <c r="C447" s="33"/>
      <c r="D447" s="33"/>
      <c r="E447" s="33"/>
    </row>
    <row r="448" spans="1:5" x14ac:dyDescent="0.25">
      <c r="A448" s="33"/>
      <c r="B448" s="33"/>
      <c r="C448" s="33"/>
      <c r="D448" s="33"/>
      <c r="E448" s="33"/>
    </row>
    <row r="449" spans="1:5" x14ac:dyDescent="0.25">
      <c r="A449" s="33"/>
      <c r="B449" s="33"/>
      <c r="C449" s="33"/>
      <c r="D449" s="33"/>
      <c r="E449" s="33"/>
    </row>
    <row r="450" spans="1:5" x14ac:dyDescent="0.25">
      <c r="A450" s="33"/>
      <c r="B450" s="33"/>
      <c r="C450" s="33"/>
      <c r="D450" s="33"/>
      <c r="E450" s="33"/>
    </row>
    <row r="451" spans="1:5" x14ac:dyDescent="0.25">
      <c r="A451" s="33"/>
      <c r="B451" s="33"/>
      <c r="C451" s="33"/>
      <c r="D451" s="33"/>
      <c r="E451" s="33"/>
    </row>
    <row r="452" spans="1:5" x14ac:dyDescent="0.25">
      <c r="A452" s="33"/>
      <c r="B452" s="33"/>
      <c r="C452" s="33"/>
      <c r="D452" s="33"/>
      <c r="E452" s="33"/>
    </row>
    <row r="453" spans="1:5" x14ac:dyDescent="0.25">
      <c r="A453" s="33"/>
      <c r="B453" s="33"/>
      <c r="C453" s="33"/>
      <c r="D453" s="33"/>
      <c r="E453" s="33"/>
    </row>
    <row r="454" spans="1:5" x14ac:dyDescent="0.25">
      <c r="A454" s="33"/>
      <c r="B454" s="33"/>
      <c r="C454" s="33"/>
      <c r="D454" s="33"/>
      <c r="E454" s="33"/>
    </row>
    <row r="455" spans="1:5" x14ac:dyDescent="0.25">
      <c r="A455" s="33"/>
      <c r="B455" s="33"/>
      <c r="C455" s="33"/>
      <c r="D455" s="33"/>
      <c r="E455" s="33"/>
    </row>
    <row r="456" spans="1:5" x14ac:dyDescent="0.25">
      <c r="A456" s="33"/>
      <c r="B456" s="33"/>
      <c r="C456" s="33"/>
      <c r="D456" s="33"/>
      <c r="E456" s="33"/>
    </row>
    <row r="457" spans="1:5" x14ac:dyDescent="0.25">
      <c r="A457" s="33"/>
      <c r="B457" s="33"/>
      <c r="C457" s="33"/>
      <c r="D457" s="33"/>
      <c r="E457" s="33"/>
    </row>
    <row r="458" spans="1:5" x14ac:dyDescent="0.25">
      <c r="A458" s="33"/>
      <c r="B458" s="33"/>
      <c r="C458" s="33"/>
      <c r="D458" s="33"/>
      <c r="E458" s="33"/>
    </row>
    <row r="459" spans="1:5" x14ac:dyDescent="0.25">
      <c r="A459" s="33"/>
      <c r="B459" s="33"/>
      <c r="C459" s="33"/>
      <c r="D459" s="33"/>
      <c r="E459" s="33"/>
    </row>
    <row r="460" spans="1:5" x14ac:dyDescent="0.25">
      <c r="A460" s="33"/>
      <c r="B460" s="33"/>
      <c r="C460" s="33"/>
      <c r="D460" s="33"/>
      <c r="E460" s="33"/>
    </row>
    <row r="461" spans="1:5" x14ac:dyDescent="0.25">
      <c r="A461" s="33"/>
      <c r="B461" s="33"/>
      <c r="C461" s="33"/>
      <c r="D461" s="33"/>
      <c r="E461" s="33"/>
    </row>
    <row r="462" spans="1:5" x14ac:dyDescent="0.25">
      <c r="A462" s="33"/>
      <c r="B462" s="33"/>
      <c r="C462" s="33"/>
      <c r="D462" s="33"/>
      <c r="E462" s="33"/>
    </row>
    <row r="463" spans="1:5" x14ac:dyDescent="0.25">
      <c r="A463" s="33"/>
      <c r="B463" s="33"/>
      <c r="C463" s="33"/>
      <c r="D463" s="33"/>
      <c r="E463" s="33"/>
    </row>
    <row r="464" spans="1:5" x14ac:dyDescent="0.25">
      <c r="A464" s="33"/>
      <c r="B464" s="33"/>
      <c r="C464" s="33"/>
      <c r="D464" s="33"/>
      <c r="E464" s="33"/>
    </row>
    <row r="465" spans="1:5" x14ac:dyDescent="0.25">
      <c r="A465" s="33"/>
      <c r="B465" s="33"/>
      <c r="C465" s="33"/>
      <c r="D465" s="33"/>
      <c r="E465" s="33"/>
    </row>
    <row r="466" spans="1:5" x14ac:dyDescent="0.25">
      <c r="A466" s="33"/>
      <c r="B466" s="33"/>
      <c r="C466" s="33"/>
      <c r="D466" s="33"/>
      <c r="E466" s="33"/>
    </row>
    <row r="467" spans="1:5" x14ac:dyDescent="0.25">
      <c r="A467" s="33"/>
      <c r="B467" s="33"/>
      <c r="C467" s="33"/>
      <c r="D467" s="33"/>
      <c r="E467" s="33"/>
    </row>
    <row r="468" spans="1:5" x14ac:dyDescent="0.25">
      <c r="A468" s="33"/>
      <c r="B468" s="33"/>
      <c r="C468" s="33"/>
      <c r="D468" s="33"/>
      <c r="E468" s="33"/>
    </row>
    <row r="469" spans="1:5" x14ac:dyDescent="0.25">
      <c r="A469" s="33"/>
      <c r="B469" s="33"/>
      <c r="C469" s="33"/>
      <c r="D469" s="33"/>
      <c r="E469" s="33"/>
    </row>
    <row r="470" spans="1:5" x14ac:dyDescent="0.25">
      <c r="A470" s="33"/>
      <c r="B470" s="33"/>
      <c r="C470" s="33"/>
      <c r="D470" s="33"/>
      <c r="E470" s="33"/>
    </row>
    <row r="471" spans="1:5" x14ac:dyDescent="0.25">
      <c r="A471" s="33"/>
      <c r="B471" s="33"/>
      <c r="C471" s="33"/>
      <c r="D471" s="33"/>
      <c r="E471" s="33"/>
    </row>
    <row r="472" spans="1:5" x14ac:dyDescent="0.25">
      <c r="A472" s="33"/>
      <c r="B472" s="33"/>
      <c r="C472" s="33"/>
      <c r="D472" s="33"/>
      <c r="E472" s="33"/>
    </row>
    <row r="473" spans="1:5" x14ac:dyDescent="0.25">
      <c r="A473" s="33"/>
      <c r="B473" s="33"/>
      <c r="C473" s="33"/>
      <c r="D473" s="33"/>
      <c r="E473" s="33"/>
    </row>
    <row r="474" spans="1:5" x14ac:dyDescent="0.25">
      <c r="A474" s="33"/>
      <c r="B474" s="33"/>
      <c r="C474" s="33"/>
      <c r="D474" s="33"/>
      <c r="E474" s="33"/>
    </row>
    <row r="475" spans="1:5" x14ac:dyDescent="0.25">
      <c r="A475" s="33"/>
      <c r="B475" s="33"/>
      <c r="C475" s="33"/>
      <c r="D475" s="33"/>
      <c r="E475" s="33"/>
    </row>
    <row r="476" spans="1:5" x14ac:dyDescent="0.25">
      <c r="A476" s="33"/>
      <c r="B476" s="33"/>
      <c r="C476" s="33"/>
      <c r="D476" s="33"/>
      <c r="E476" s="33"/>
    </row>
    <row r="477" spans="1:5" x14ac:dyDescent="0.25">
      <c r="A477" s="33"/>
      <c r="B477" s="33"/>
      <c r="C477" s="33"/>
      <c r="D477" s="33"/>
      <c r="E477" s="33"/>
    </row>
    <row r="478" spans="1:5" x14ac:dyDescent="0.25">
      <c r="A478" s="33"/>
      <c r="B478" s="33"/>
      <c r="C478" s="33"/>
      <c r="D478" s="33"/>
      <c r="E478" s="33"/>
    </row>
    <row r="479" spans="1:5" x14ac:dyDescent="0.25">
      <c r="A479" s="33"/>
      <c r="B479" s="33"/>
      <c r="C479" s="33"/>
      <c r="D479" s="33"/>
      <c r="E479" s="33"/>
    </row>
    <row r="480" spans="1:5" x14ac:dyDescent="0.25">
      <c r="A480" s="33"/>
      <c r="B480" s="33"/>
      <c r="C480" s="33"/>
      <c r="D480" s="33"/>
      <c r="E480" s="33"/>
    </row>
    <row r="481" spans="1:5" x14ac:dyDescent="0.25">
      <c r="A481" s="33"/>
      <c r="B481" s="33"/>
      <c r="C481" s="33"/>
      <c r="D481" s="33"/>
      <c r="E481" s="33"/>
    </row>
    <row r="482" spans="1:5" x14ac:dyDescent="0.25">
      <c r="A482" s="33"/>
      <c r="B482" s="33"/>
      <c r="C482" s="33"/>
      <c r="D482" s="33"/>
      <c r="E482" s="33"/>
    </row>
    <row r="483" spans="1:5" x14ac:dyDescent="0.25">
      <c r="A483" s="33"/>
      <c r="B483" s="33"/>
      <c r="C483" s="33"/>
      <c r="D483" s="33"/>
      <c r="E483" s="33"/>
    </row>
    <row r="484" spans="1:5" x14ac:dyDescent="0.25">
      <c r="A484" s="33"/>
      <c r="B484" s="33"/>
      <c r="C484" s="33"/>
      <c r="D484" s="33"/>
      <c r="E484" s="33"/>
    </row>
    <row r="485" spans="1:5" x14ac:dyDescent="0.25">
      <c r="A485" s="33"/>
      <c r="B485" s="33"/>
      <c r="C485" s="33"/>
      <c r="D485" s="33"/>
      <c r="E485" s="33"/>
    </row>
    <row r="486" spans="1:5" x14ac:dyDescent="0.25">
      <c r="A486" s="33"/>
      <c r="B486" s="33"/>
      <c r="C486" s="33"/>
      <c r="D486" s="33"/>
      <c r="E486" s="33"/>
    </row>
    <row r="487" spans="1:5" x14ac:dyDescent="0.25">
      <c r="A487" s="33"/>
      <c r="B487" s="33"/>
      <c r="C487" s="33"/>
      <c r="D487" s="33"/>
      <c r="E487" s="33"/>
    </row>
    <row r="488" spans="1:5" x14ac:dyDescent="0.25">
      <c r="A488" s="33"/>
      <c r="B488" s="33"/>
      <c r="C488" s="33"/>
      <c r="D488" s="33"/>
      <c r="E488" s="33"/>
    </row>
    <row r="489" spans="1:5" x14ac:dyDescent="0.25">
      <c r="A489" s="33"/>
      <c r="B489" s="33"/>
      <c r="C489" s="33"/>
      <c r="D489" s="33"/>
      <c r="E489" s="33"/>
    </row>
    <row r="490" spans="1:5" x14ac:dyDescent="0.25">
      <c r="A490" s="33"/>
      <c r="B490" s="33"/>
      <c r="C490" s="33"/>
      <c r="D490" s="33"/>
      <c r="E490" s="33"/>
    </row>
    <row r="491" spans="1:5" x14ac:dyDescent="0.25">
      <c r="A491" s="33"/>
      <c r="B491" s="33"/>
      <c r="C491" s="33"/>
      <c r="D491" s="33"/>
      <c r="E491" s="33"/>
    </row>
    <row r="492" spans="1:5" x14ac:dyDescent="0.25">
      <c r="A492" s="33"/>
      <c r="B492" s="33"/>
      <c r="C492" s="33"/>
      <c r="D492" s="33"/>
      <c r="E492" s="33"/>
    </row>
    <row r="493" spans="1:5" x14ac:dyDescent="0.25">
      <c r="A493" s="33"/>
      <c r="B493" s="33"/>
      <c r="C493" s="33"/>
      <c r="D493" s="33"/>
      <c r="E493" s="33"/>
    </row>
    <row r="494" spans="1:5" x14ac:dyDescent="0.25">
      <c r="A494" s="33"/>
      <c r="B494" s="33"/>
      <c r="C494" s="33"/>
      <c r="D494" s="33"/>
      <c r="E494" s="33"/>
    </row>
    <row r="495" spans="1:5" x14ac:dyDescent="0.25">
      <c r="A495" s="33"/>
      <c r="B495" s="33"/>
      <c r="C495" s="33"/>
      <c r="D495" s="33"/>
      <c r="E495" s="33"/>
    </row>
    <row r="496" spans="1:5" x14ac:dyDescent="0.25">
      <c r="A496" s="33"/>
      <c r="B496" s="33"/>
      <c r="C496" s="33"/>
      <c r="D496" s="33"/>
      <c r="E496" s="33"/>
    </row>
    <row r="497" spans="1:5" x14ac:dyDescent="0.25">
      <c r="A497" s="33"/>
      <c r="B497" s="33"/>
      <c r="C497" s="33"/>
      <c r="D497" s="33"/>
      <c r="E497" s="33"/>
    </row>
    <row r="498" spans="1:5" x14ac:dyDescent="0.25">
      <c r="A498" s="33"/>
      <c r="B498" s="33"/>
      <c r="C498" s="33"/>
      <c r="D498" s="33"/>
      <c r="E498" s="33"/>
    </row>
    <row r="499" spans="1:5" x14ac:dyDescent="0.25">
      <c r="A499" s="33"/>
      <c r="B499" s="33"/>
      <c r="C499" s="33"/>
      <c r="D499" s="33"/>
      <c r="E499" s="33"/>
    </row>
    <row r="500" spans="1:5" x14ac:dyDescent="0.25">
      <c r="A500" s="33"/>
      <c r="B500" s="33"/>
      <c r="C500" s="33"/>
      <c r="D500" s="33"/>
      <c r="E500" s="33"/>
    </row>
    <row r="501" spans="1:5" x14ac:dyDescent="0.25">
      <c r="A501" s="33"/>
      <c r="B501" s="33"/>
      <c r="C501" s="33"/>
      <c r="D501" s="33"/>
      <c r="E501" s="33"/>
    </row>
    <row r="502" spans="1:5" x14ac:dyDescent="0.25">
      <c r="A502" s="33"/>
      <c r="B502" s="33"/>
      <c r="C502" s="33"/>
      <c r="D502" s="33"/>
      <c r="E502" s="33"/>
    </row>
    <row r="503" spans="1:5" x14ac:dyDescent="0.25">
      <c r="A503" s="33"/>
      <c r="B503" s="33"/>
      <c r="C503" s="33"/>
      <c r="D503" s="33"/>
      <c r="E503" s="33"/>
    </row>
    <row r="504" spans="1:5" x14ac:dyDescent="0.25">
      <c r="A504" s="33"/>
      <c r="B504" s="33"/>
      <c r="C504" s="33"/>
      <c r="D504" s="33"/>
      <c r="E504" s="33"/>
    </row>
    <row r="505" spans="1:5" x14ac:dyDescent="0.25">
      <c r="A505" s="33"/>
      <c r="B505" s="33"/>
      <c r="C505" s="33"/>
      <c r="D505" s="33"/>
      <c r="E505" s="33"/>
    </row>
    <row r="506" spans="1:5" x14ac:dyDescent="0.25">
      <c r="A506" s="33"/>
      <c r="B506" s="33"/>
      <c r="C506" s="33"/>
      <c r="D506" s="33"/>
      <c r="E506" s="33"/>
    </row>
    <row r="507" spans="1:5" x14ac:dyDescent="0.25">
      <c r="A507" s="33"/>
      <c r="B507" s="33"/>
      <c r="C507" s="33"/>
      <c r="D507" s="33"/>
      <c r="E507" s="33"/>
    </row>
    <row r="508" spans="1:5" x14ac:dyDescent="0.25">
      <c r="A508" s="33"/>
      <c r="B508" s="33"/>
      <c r="C508" s="33"/>
      <c r="D508" s="33"/>
      <c r="E508" s="33"/>
    </row>
    <row r="509" spans="1:5" x14ac:dyDescent="0.25">
      <c r="A509" s="33"/>
      <c r="B509" s="33"/>
      <c r="C509" s="33"/>
      <c r="D509" s="33"/>
      <c r="E509" s="33"/>
    </row>
    <row r="510" spans="1:5" x14ac:dyDescent="0.25">
      <c r="A510" s="33"/>
      <c r="B510" s="33"/>
      <c r="C510" s="33"/>
      <c r="D510" s="33"/>
      <c r="E510" s="33"/>
    </row>
    <row r="511" spans="1:5" x14ac:dyDescent="0.25">
      <c r="A511" s="33"/>
      <c r="B511" s="33"/>
      <c r="C511" s="33"/>
      <c r="D511" s="33"/>
      <c r="E511" s="33"/>
    </row>
    <row r="512" spans="1:5" x14ac:dyDescent="0.25">
      <c r="A512" s="33"/>
      <c r="B512" s="33"/>
      <c r="C512" s="33"/>
      <c r="D512" s="33"/>
      <c r="E512" s="33"/>
    </row>
    <row r="513" spans="1:5" x14ac:dyDescent="0.25">
      <c r="A513" s="33"/>
      <c r="B513" s="33"/>
      <c r="C513" s="33"/>
      <c r="D513" s="33"/>
      <c r="E513" s="33"/>
    </row>
    <row r="514" spans="1:5" x14ac:dyDescent="0.25">
      <c r="A514" s="33"/>
      <c r="B514" s="33"/>
      <c r="C514" s="33"/>
      <c r="D514" s="33"/>
      <c r="E514" s="33"/>
    </row>
    <row r="515" spans="1:5" x14ac:dyDescent="0.25">
      <c r="A515" s="33"/>
      <c r="B515" s="33"/>
      <c r="C515" s="33"/>
      <c r="D515" s="33"/>
      <c r="E515" s="33"/>
    </row>
    <row r="516" spans="1:5" x14ac:dyDescent="0.25">
      <c r="A516" s="33"/>
      <c r="B516" s="33"/>
      <c r="C516" s="33"/>
      <c r="D516" s="33"/>
      <c r="E516" s="33"/>
    </row>
    <row r="517" spans="1:5" x14ac:dyDescent="0.25">
      <c r="A517" s="33"/>
      <c r="B517" s="33"/>
      <c r="C517" s="33"/>
      <c r="D517" s="33"/>
      <c r="E517" s="33"/>
    </row>
    <row r="518" spans="1:5" x14ac:dyDescent="0.25">
      <c r="A518" s="33"/>
      <c r="B518" s="33"/>
      <c r="C518" s="33"/>
      <c r="D518" s="33"/>
      <c r="E518" s="33"/>
    </row>
    <row r="519" spans="1:5" x14ac:dyDescent="0.25">
      <c r="A519" s="33"/>
      <c r="B519" s="33"/>
      <c r="C519" s="33"/>
      <c r="D519" s="33"/>
      <c r="E519" s="33"/>
    </row>
    <row r="520" spans="1:5" x14ac:dyDescent="0.25">
      <c r="A520" s="33"/>
      <c r="B520" s="33"/>
      <c r="C520" s="33"/>
      <c r="D520" s="33"/>
      <c r="E520" s="33"/>
    </row>
    <row r="521" spans="1:5" x14ac:dyDescent="0.25">
      <c r="A521" s="33"/>
      <c r="B521" s="33"/>
      <c r="C521" s="33"/>
      <c r="D521" s="33"/>
      <c r="E521" s="33"/>
    </row>
    <row r="522" spans="1:5" x14ac:dyDescent="0.25">
      <c r="A522" s="33"/>
      <c r="B522" s="33"/>
      <c r="C522" s="33"/>
      <c r="D522" s="33"/>
      <c r="E522" s="33"/>
    </row>
    <row r="523" spans="1:5" x14ac:dyDescent="0.25">
      <c r="A523" s="33"/>
      <c r="B523" s="33"/>
      <c r="C523" s="33"/>
      <c r="D523" s="33"/>
      <c r="E523" s="33"/>
    </row>
    <row r="524" spans="1:5" x14ac:dyDescent="0.25">
      <c r="A524" s="33"/>
      <c r="B524" s="33"/>
      <c r="C524" s="33"/>
      <c r="D524" s="33"/>
      <c r="E524" s="33"/>
    </row>
    <row r="525" spans="1:5" x14ac:dyDescent="0.25">
      <c r="A525" s="33"/>
      <c r="B525" s="33"/>
      <c r="C525" s="33"/>
      <c r="D525" s="33"/>
      <c r="E525" s="33"/>
    </row>
    <row r="526" spans="1:5" x14ac:dyDescent="0.25">
      <c r="A526" s="33"/>
      <c r="B526" s="33"/>
      <c r="C526" s="33"/>
      <c r="D526" s="33"/>
      <c r="E526" s="33"/>
    </row>
    <row r="527" spans="1:5" x14ac:dyDescent="0.25">
      <c r="A527" s="33"/>
      <c r="B527" s="33"/>
      <c r="C527" s="33"/>
      <c r="D527" s="33"/>
      <c r="E527" s="33"/>
    </row>
    <row r="528" spans="1:5" x14ac:dyDescent="0.25">
      <c r="A528" s="33"/>
      <c r="B528" s="33"/>
      <c r="C528" s="33"/>
      <c r="D528" s="33"/>
      <c r="E528" s="33"/>
    </row>
    <row r="529" spans="1:5" x14ac:dyDescent="0.25">
      <c r="A529" s="33"/>
      <c r="B529" s="33"/>
      <c r="C529" s="33"/>
      <c r="D529" s="33"/>
      <c r="E529" s="33"/>
    </row>
    <row r="530" spans="1:5" x14ac:dyDescent="0.25">
      <c r="A530" s="33"/>
      <c r="B530" s="33"/>
      <c r="C530" s="33"/>
      <c r="D530" s="33"/>
      <c r="E530" s="33"/>
    </row>
    <row r="531" spans="1:5" x14ac:dyDescent="0.25">
      <c r="A531" s="33"/>
      <c r="B531" s="33"/>
      <c r="C531" s="33"/>
      <c r="D531" s="33"/>
      <c r="E531" s="33"/>
    </row>
    <row r="532" spans="1:5" x14ac:dyDescent="0.25">
      <c r="A532" s="33"/>
      <c r="B532" s="33"/>
      <c r="C532" s="33"/>
      <c r="D532" s="33"/>
      <c r="E532" s="33"/>
    </row>
    <row r="533" spans="1:5" x14ac:dyDescent="0.25">
      <c r="A533" s="33"/>
      <c r="B533" s="33"/>
      <c r="C533" s="33"/>
      <c r="D533" s="33"/>
      <c r="E533" s="33"/>
    </row>
    <row r="534" spans="1:5" x14ac:dyDescent="0.25">
      <c r="A534" s="33"/>
      <c r="B534" s="33"/>
      <c r="C534" s="33"/>
      <c r="D534" s="33"/>
      <c r="E534" s="33"/>
    </row>
    <row r="535" spans="1:5" x14ac:dyDescent="0.25">
      <c r="A535" s="33"/>
      <c r="B535" s="33"/>
      <c r="C535" s="33"/>
      <c r="D535" s="33"/>
      <c r="E535" s="33"/>
    </row>
    <row r="536" spans="1:5" x14ac:dyDescent="0.25">
      <c r="A536" s="33"/>
      <c r="B536" s="33"/>
      <c r="C536" s="33"/>
      <c r="D536" s="33"/>
      <c r="E536" s="33"/>
    </row>
    <row r="537" spans="1:5" x14ac:dyDescent="0.25">
      <c r="A537" s="33"/>
      <c r="B537" s="33"/>
      <c r="C537" s="33"/>
      <c r="D537" s="33"/>
      <c r="E537" s="33"/>
    </row>
    <row r="538" spans="1:5" x14ac:dyDescent="0.25">
      <c r="A538" s="33"/>
      <c r="B538" s="33"/>
      <c r="C538" s="33"/>
      <c r="D538" s="33"/>
      <c r="E538" s="33"/>
    </row>
    <row r="539" spans="1:5" x14ac:dyDescent="0.25">
      <c r="A539" s="33"/>
      <c r="B539" s="33"/>
      <c r="C539" s="33"/>
      <c r="D539" s="33"/>
      <c r="E539" s="33"/>
    </row>
    <row r="540" spans="1:5" x14ac:dyDescent="0.25">
      <c r="A540" s="33"/>
      <c r="B540" s="33"/>
      <c r="C540" s="33"/>
      <c r="D540" s="33"/>
      <c r="E540" s="33"/>
    </row>
    <row r="541" spans="1:5" x14ac:dyDescent="0.25">
      <c r="A541" s="33"/>
      <c r="B541" s="33"/>
      <c r="C541" s="33"/>
      <c r="D541" s="33"/>
      <c r="E541" s="33"/>
    </row>
    <row r="542" spans="1:5" x14ac:dyDescent="0.25">
      <c r="A542" s="33"/>
      <c r="B542" s="33"/>
      <c r="C542" s="33"/>
      <c r="D542" s="33"/>
      <c r="E542" s="33"/>
    </row>
    <row r="543" spans="1:5" x14ac:dyDescent="0.25">
      <c r="A543" s="33"/>
      <c r="B543" s="33"/>
      <c r="C543" s="33"/>
      <c r="D543" s="33"/>
      <c r="E543" s="33"/>
    </row>
    <row r="544" spans="1:5" x14ac:dyDescent="0.25">
      <c r="A544" s="33"/>
      <c r="B544" s="33"/>
      <c r="C544" s="33"/>
      <c r="D544" s="33"/>
      <c r="E544" s="33"/>
    </row>
    <row r="545" spans="1:5" x14ac:dyDescent="0.25">
      <c r="A545" s="33"/>
      <c r="B545" s="33"/>
      <c r="C545" s="33"/>
      <c r="D545" s="33"/>
      <c r="E545" s="33"/>
    </row>
    <row r="546" spans="1:5" x14ac:dyDescent="0.25">
      <c r="A546" s="33"/>
      <c r="B546" s="33"/>
      <c r="C546" s="33"/>
      <c r="D546" s="33"/>
      <c r="E546" s="33"/>
    </row>
    <row r="547" spans="1:5" x14ac:dyDescent="0.25">
      <c r="A547" s="33"/>
      <c r="B547" s="33"/>
      <c r="C547" s="33"/>
      <c r="D547" s="33"/>
      <c r="E547" s="33"/>
    </row>
    <row r="548" spans="1:5" x14ac:dyDescent="0.25">
      <c r="A548" s="33"/>
      <c r="B548" s="33"/>
      <c r="C548" s="33"/>
      <c r="D548" s="33"/>
      <c r="E548" s="33"/>
    </row>
    <row r="549" spans="1:5" x14ac:dyDescent="0.25">
      <c r="A549" s="33"/>
      <c r="B549" s="33"/>
      <c r="C549" s="33"/>
      <c r="D549" s="33"/>
      <c r="E549" s="33"/>
    </row>
    <row r="550" spans="1:5" x14ac:dyDescent="0.25">
      <c r="A550" s="33"/>
      <c r="B550" s="33"/>
      <c r="C550" s="33"/>
      <c r="D550" s="33"/>
      <c r="E550" s="33"/>
    </row>
    <row r="551" spans="1:5" x14ac:dyDescent="0.25">
      <c r="A551" s="33"/>
      <c r="B551" s="33"/>
      <c r="C551" s="33"/>
      <c r="D551" s="33"/>
      <c r="E551" s="33"/>
    </row>
    <row r="552" spans="1:5" x14ac:dyDescent="0.25">
      <c r="A552" s="33"/>
      <c r="B552" s="33"/>
      <c r="C552" s="33"/>
      <c r="D552" s="33"/>
      <c r="E552" s="33"/>
    </row>
    <row r="553" spans="1:5" x14ac:dyDescent="0.25">
      <c r="A553" s="33"/>
      <c r="B553" s="33"/>
      <c r="C553" s="33"/>
      <c r="D553" s="33"/>
      <c r="E553" s="33"/>
    </row>
    <row r="554" spans="1:5" x14ac:dyDescent="0.25">
      <c r="A554" s="33"/>
      <c r="B554" s="33"/>
      <c r="C554" s="33"/>
      <c r="D554" s="33"/>
      <c r="E554" s="33"/>
    </row>
    <row r="555" spans="1:5" x14ac:dyDescent="0.25">
      <c r="A555" s="33"/>
      <c r="B555" s="33"/>
      <c r="C555" s="33"/>
      <c r="D555" s="33"/>
      <c r="E555" s="33"/>
    </row>
    <row r="556" spans="1:5" x14ac:dyDescent="0.25">
      <c r="A556" s="33"/>
      <c r="B556" s="33"/>
      <c r="C556" s="33"/>
      <c r="D556" s="33"/>
      <c r="E556" s="33"/>
    </row>
    <row r="557" spans="1:5" x14ac:dyDescent="0.25">
      <c r="A557" s="33"/>
      <c r="B557" s="33"/>
      <c r="C557" s="33"/>
      <c r="D557" s="33"/>
      <c r="E557" s="33"/>
    </row>
    <row r="558" spans="1:5" x14ac:dyDescent="0.25">
      <c r="A558" s="33"/>
      <c r="B558" s="33"/>
      <c r="C558" s="33"/>
      <c r="D558" s="33"/>
      <c r="E558" s="33"/>
    </row>
    <row r="559" spans="1:5" x14ac:dyDescent="0.25">
      <c r="A559" s="33"/>
      <c r="B559" s="33"/>
      <c r="C559" s="33"/>
      <c r="D559" s="33"/>
      <c r="E559" s="33"/>
    </row>
    <row r="560" spans="1:5" x14ac:dyDescent="0.25">
      <c r="A560" s="33"/>
      <c r="B560" s="33"/>
      <c r="C560" s="33"/>
      <c r="D560" s="33"/>
      <c r="E560" s="33"/>
    </row>
    <row r="561" spans="1:5" x14ac:dyDescent="0.25">
      <c r="A561" s="33"/>
      <c r="B561" s="33"/>
      <c r="C561" s="33"/>
      <c r="D561" s="33"/>
      <c r="E561" s="33"/>
    </row>
    <row r="562" spans="1:5" x14ac:dyDescent="0.25">
      <c r="A562" s="33"/>
      <c r="B562" s="33"/>
      <c r="C562" s="33"/>
      <c r="D562" s="33"/>
      <c r="E562" s="33"/>
    </row>
    <row r="563" spans="1:5" x14ac:dyDescent="0.25">
      <c r="A563" s="33"/>
      <c r="B563" s="33"/>
      <c r="C563" s="33"/>
      <c r="D563" s="33"/>
      <c r="E563" s="33"/>
    </row>
    <row r="564" spans="1:5" x14ac:dyDescent="0.25">
      <c r="A564" s="33"/>
      <c r="B564" s="33"/>
      <c r="C564" s="33"/>
      <c r="D564" s="33"/>
      <c r="E564" s="33"/>
    </row>
    <row r="565" spans="1:5" x14ac:dyDescent="0.25">
      <c r="A565" s="33"/>
      <c r="B565" s="33"/>
      <c r="C565" s="33"/>
      <c r="D565" s="33"/>
      <c r="E565" s="33"/>
    </row>
    <row r="566" spans="1:5" x14ac:dyDescent="0.25">
      <c r="A566" s="33"/>
      <c r="B566" s="33"/>
      <c r="C566" s="33"/>
      <c r="D566" s="33"/>
      <c r="E566" s="33"/>
    </row>
    <row r="567" spans="1:5" x14ac:dyDescent="0.25">
      <c r="A567" s="33"/>
      <c r="B567" s="33"/>
      <c r="C567" s="33"/>
      <c r="D567" s="33"/>
      <c r="E567" s="33"/>
    </row>
    <row r="568" spans="1:5" x14ac:dyDescent="0.25">
      <c r="A568" s="33"/>
      <c r="B568" s="33"/>
      <c r="C568" s="33"/>
      <c r="D568" s="33"/>
      <c r="E568" s="33"/>
    </row>
    <row r="569" spans="1:5" x14ac:dyDescent="0.25">
      <c r="A569" s="33"/>
      <c r="B569" s="33"/>
      <c r="C569" s="33"/>
      <c r="D569" s="33"/>
      <c r="E569" s="33"/>
    </row>
    <row r="570" spans="1:5" x14ac:dyDescent="0.25">
      <c r="A570" s="33"/>
      <c r="B570" s="33"/>
      <c r="C570" s="33"/>
      <c r="D570" s="33"/>
      <c r="E570" s="33"/>
    </row>
    <row r="571" spans="1:5" x14ac:dyDescent="0.25">
      <c r="A571" s="33"/>
      <c r="B571" s="33"/>
      <c r="C571" s="33"/>
      <c r="D571" s="33"/>
      <c r="E571" s="33"/>
    </row>
    <row r="572" spans="1:5" x14ac:dyDescent="0.25">
      <c r="A572" s="33"/>
      <c r="B572" s="33"/>
      <c r="C572" s="33"/>
      <c r="D572" s="33"/>
      <c r="E572" s="33"/>
    </row>
    <row r="573" spans="1:5" x14ac:dyDescent="0.25">
      <c r="A573" s="33"/>
      <c r="B573" s="33"/>
      <c r="C573" s="33"/>
      <c r="D573" s="33"/>
      <c r="E573" s="33"/>
    </row>
    <row r="574" spans="1:5" x14ac:dyDescent="0.25">
      <c r="A574" s="33"/>
      <c r="B574" s="33"/>
      <c r="C574" s="33"/>
      <c r="D574" s="33"/>
      <c r="E574" s="33"/>
    </row>
    <row r="575" spans="1:5" x14ac:dyDescent="0.25">
      <c r="A575" s="33"/>
      <c r="B575" s="33"/>
      <c r="C575" s="33"/>
      <c r="D575" s="33"/>
      <c r="E575" s="33"/>
    </row>
    <row r="576" spans="1:5" x14ac:dyDescent="0.25">
      <c r="A576" s="33"/>
      <c r="B576" s="33"/>
      <c r="C576" s="33"/>
      <c r="D576" s="33"/>
      <c r="E576" s="33"/>
    </row>
    <row r="577" spans="1:5" x14ac:dyDescent="0.25">
      <c r="A577" s="33"/>
      <c r="B577" s="33"/>
      <c r="C577" s="33"/>
      <c r="D577" s="33"/>
      <c r="E577" s="33"/>
    </row>
    <row r="578" spans="1:5" x14ac:dyDescent="0.25">
      <c r="A578" s="33"/>
      <c r="B578" s="33"/>
      <c r="C578" s="33"/>
      <c r="D578" s="33"/>
      <c r="E578" s="33"/>
    </row>
    <row r="579" spans="1:5" x14ac:dyDescent="0.25">
      <c r="A579" s="33"/>
      <c r="B579" s="33"/>
      <c r="C579" s="33"/>
      <c r="D579" s="33"/>
      <c r="E579" s="33"/>
    </row>
    <row r="580" spans="1:5" x14ac:dyDescent="0.25">
      <c r="A580" s="33"/>
      <c r="B580" s="33"/>
      <c r="C580" s="33"/>
      <c r="D580" s="33"/>
      <c r="E580" s="33"/>
    </row>
    <row r="581" spans="1:5" x14ac:dyDescent="0.25">
      <c r="A581" s="33"/>
      <c r="B581" s="33"/>
      <c r="C581" s="33"/>
      <c r="D581" s="33"/>
      <c r="E581" s="33"/>
    </row>
    <row r="582" spans="1:5" x14ac:dyDescent="0.25">
      <c r="A582" s="33"/>
      <c r="B582" s="33"/>
      <c r="C582" s="33"/>
      <c r="D582" s="33"/>
      <c r="E582" s="33"/>
    </row>
    <row r="583" spans="1:5" x14ac:dyDescent="0.25">
      <c r="A583" s="33"/>
      <c r="B583" s="33"/>
      <c r="C583" s="33"/>
      <c r="D583" s="33"/>
      <c r="E583" s="33"/>
    </row>
    <row r="584" spans="1:5" x14ac:dyDescent="0.25">
      <c r="A584" s="33"/>
      <c r="B584" s="33"/>
      <c r="C584" s="33"/>
      <c r="D584" s="33"/>
      <c r="E584" s="33"/>
    </row>
    <row r="585" spans="1:5" x14ac:dyDescent="0.25">
      <c r="A585" s="33"/>
      <c r="B585" s="33"/>
      <c r="C585" s="33"/>
      <c r="D585" s="33"/>
      <c r="E585" s="33"/>
    </row>
    <row r="586" spans="1:5" x14ac:dyDescent="0.25">
      <c r="A586" s="33"/>
      <c r="B586" s="33"/>
      <c r="C586" s="33"/>
      <c r="D586" s="33"/>
      <c r="E586" s="33"/>
    </row>
    <row r="587" spans="1:5" x14ac:dyDescent="0.25">
      <c r="A587" s="33"/>
      <c r="B587" s="33"/>
      <c r="C587" s="33"/>
      <c r="D587" s="33"/>
      <c r="E587" s="33"/>
    </row>
    <row r="588" spans="1:5" x14ac:dyDescent="0.25">
      <c r="A588" s="33"/>
      <c r="B588" s="33"/>
      <c r="C588" s="33"/>
      <c r="D588" s="33"/>
      <c r="E588" s="33"/>
    </row>
    <row r="589" spans="1:5" x14ac:dyDescent="0.25">
      <c r="A589" s="33"/>
      <c r="B589" s="33"/>
      <c r="C589" s="33"/>
      <c r="D589" s="33"/>
      <c r="E589" s="33"/>
    </row>
    <row r="590" spans="1:5" x14ac:dyDescent="0.25">
      <c r="A590" s="33"/>
      <c r="B590" s="33"/>
      <c r="C590" s="33"/>
      <c r="D590" s="33"/>
      <c r="E590" s="33"/>
    </row>
    <row r="591" spans="1:5" x14ac:dyDescent="0.25">
      <c r="A591" s="33"/>
      <c r="B591" s="33"/>
      <c r="C591" s="33"/>
      <c r="D591" s="33"/>
      <c r="E591" s="33"/>
    </row>
    <row r="592" spans="1:5" x14ac:dyDescent="0.25">
      <c r="A592" s="33"/>
      <c r="B592" s="33"/>
      <c r="C592" s="33"/>
      <c r="D592" s="33"/>
      <c r="E592" s="33"/>
    </row>
    <row r="593" spans="1:5" x14ac:dyDescent="0.25">
      <c r="A593" s="33"/>
      <c r="B593" s="33"/>
      <c r="C593" s="33"/>
      <c r="D593" s="33"/>
      <c r="E593" s="33"/>
    </row>
    <row r="594" spans="1:5" x14ac:dyDescent="0.25">
      <c r="A594" s="33"/>
      <c r="B594" s="33"/>
      <c r="C594" s="33"/>
      <c r="D594" s="33"/>
      <c r="E594" s="33"/>
    </row>
    <row r="595" spans="1:5" x14ac:dyDescent="0.25">
      <c r="A595" s="33"/>
      <c r="B595" s="33"/>
      <c r="C595" s="33"/>
      <c r="D595" s="33"/>
      <c r="E595" s="33"/>
    </row>
    <row r="596" spans="1:5" x14ac:dyDescent="0.25">
      <c r="A596" s="33"/>
      <c r="B596" s="33"/>
      <c r="C596" s="33"/>
      <c r="D596" s="33"/>
      <c r="E596" s="33"/>
    </row>
    <row r="597" spans="1:5" x14ac:dyDescent="0.25">
      <c r="A597" s="33"/>
      <c r="B597" s="33"/>
      <c r="C597" s="33"/>
      <c r="D597" s="33"/>
      <c r="E597" s="33"/>
    </row>
    <row r="598" spans="1:5" x14ac:dyDescent="0.25">
      <c r="A598" s="33"/>
      <c r="B598" s="33"/>
      <c r="C598" s="33"/>
      <c r="D598" s="33"/>
      <c r="E598" s="33"/>
    </row>
    <row r="599" spans="1:5" x14ac:dyDescent="0.25">
      <c r="A599" s="33"/>
      <c r="B599" s="33"/>
      <c r="C599" s="33"/>
      <c r="D599" s="33"/>
      <c r="E599" s="33"/>
    </row>
    <row r="600" spans="1:5" x14ac:dyDescent="0.25">
      <c r="A600" s="33"/>
      <c r="B600" s="33"/>
      <c r="C600" s="33"/>
      <c r="D600" s="33"/>
      <c r="E600" s="33"/>
    </row>
    <row r="601" spans="1:5" x14ac:dyDescent="0.25">
      <c r="A601" s="33"/>
      <c r="B601" s="33"/>
      <c r="C601" s="33"/>
      <c r="D601" s="33"/>
      <c r="E601" s="33"/>
    </row>
    <row r="602" spans="1:5" x14ac:dyDescent="0.25">
      <c r="A602" s="33"/>
      <c r="B602" s="33"/>
      <c r="C602" s="33"/>
      <c r="D602" s="33"/>
      <c r="E602" s="33"/>
    </row>
    <row r="603" spans="1:5" x14ac:dyDescent="0.25">
      <c r="A603" s="33"/>
      <c r="B603" s="33"/>
      <c r="C603" s="33"/>
      <c r="D603" s="33"/>
      <c r="E603" s="33"/>
    </row>
    <row r="604" spans="1:5" x14ac:dyDescent="0.25">
      <c r="A604" s="33"/>
      <c r="B604" s="33"/>
      <c r="C604" s="33"/>
      <c r="D604" s="33"/>
      <c r="E604" s="33"/>
    </row>
    <row r="605" spans="1:5" x14ac:dyDescent="0.25">
      <c r="A605" s="33"/>
      <c r="B605" s="33"/>
      <c r="C605" s="33"/>
      <c r="D605" s="33"/>
      <c r="E605" s="33"/>
    </row>
    <row r="606" spans="1:5" x14ac:dyDescent="0.25">
      <c r="A606" s="33"/>
      <c r="B606" s="33"/>
      <c r="C606" s="33"/>
      <c r="D606" s="33"/>
      <c r="E606" s="33"/>
    </row>
    <row r="607" spans="1:5" x14ac:dyDescent="0.25">
      <c r="A607" s="33"/>
      <c r="B607" s="33"/>
      <c r="C607" s="33"/>
      <c r="D607" s="33"/>
      <c r="E607" s="33"/>
    </row>
    <row r="608" spans="1:5" x14ac:dyDescent="0.25">
      <c r="A608" s="33"/>
      <c r="B608" s="33"/>
      <c r="C608" s="33"/>
      <c r="D608" s="33"/>
      <c r="E608" s="33"/>
    </row>
    <row r="609" spans="1:5" x14ac:dyDescent="0.25">
      <c r="A609" s="33"/>
      <c r="B609" s="33"/>
      <c r="C609" s="33"/>
      <c r="D609" s="33"/>
      <c r="E609" s="33"/>
    </row>
    <row r="610" spans="1:5" x14ac:dyDescent="0.25">
      <c r="A610" s="33"/>
      <c r="B610" s="33"/>
      <c r="C610" s="33"/>
      <c r="D610" s="33"/>
      <c r="E610" s="33"/>
    </row>
    <row r="611" spans="1:5" x14ac:dyDescent="0.25">
      <c r="A611" s="33"/>
      <c r="B611" s="33"/>
      <c r="C611" s="33"/>
      <c r="D611" s="33"/>
      <c r="E611" s="33"/>
    </row>
    <row r="612" spans="1:5" x14ac:dyDescent="0.25">
      <c r="A612" s="33"/>
      <c r="B612" s="33"/>
      <c r="C612" s="33"/>
      <c r="D612" s="33"/>
      <c r="E612" s="33"/>
    </row>
    <row r="613" spans="1:5" x14ac:dyDescent="0.25">
      <c r="A613" s="33"/>
      <c r="B613" s="33"/>
      <c r="C613" s="33"/>
      <c r="D613" s="33"/>
      <c r="E613" s="33"/>
    </row>
    <row r="614" spans="1:5" x14ac:dyDescent="0.25">
      <c r="A614" s="33"/>
      <c r="B614" s="33"/>
      <c r="C614" s="33"/>
      <c r="D614" s="33"/>
      <c r="E614" s="33"/>
    </row>
    <row r="615" spans="1:5" x14ac:dyDescent="0.25">
      <c r="A615" s="33"/>
      <c r="B615" s="33"/>
      <c r="C615" s="33"/>
      <c r="D615" s="33"/>
      <c r="E615" s="33"/>
    </row>
    <row r="616" spans="1:5" x14ac:dyDescent="0.25">
      <c r="A616" s="33"/>
      <c r="B616" s="33"/>
      <c r="C616" s="33"/>
      <c r="D616" s="33"/>
      <c r="E616" s="33"/>
    </row>
    <row r="617" spans="1:5" x14ac:dyDescent="0.25">
      <c r="A617" s="33"/>
      <c r="B617" s="33"/>
      <c r="C617" s="33"/>
      <c r="D617" s="33"/>
      <c r="E617" s="33"/>
    </row>
    <row r="618" spans="1:5" x14ac:dyDescent="0.25">
      <c r="A618" s="33"/>
      <c r="B618" s="33"/>
      <c r="C618" s="33"/>
      <c r="D618" s="33"/>
      <c r="E618" s="33"/>
    </row>
    <row r="619" spans="1:5" x14ac:dyDescent="0.25">
      <c r="A619" s="33"/>
      <c r="B619" s="33"/>
      <c r="C619" s="33"/>
      <c r="D619" s="33"/>
      <c r="E619" s="33"/>
    </row>
    <row r="620" spans="1:5" x14ac:dyDescent="0.25">
      <c r="A620" s="33"/>
      <c r="B620" s="33"/>
      <c r="C620" s="33"/>
      <c r="D620" s="33"/>
      <c r="E620" s="33"/>
    </row>
    <row r="621" spans="1:5" x14ac:dyDescent="0.25">
      <c r="A621" s="33"/>
      <c r="B621" s="33"/>
      <c r="C621" s="33"/>
      <c r="D621" s="33"/>
      <c r="E621" s="33"/>
    </row>
    <row r="622" spans="1:5" x14ac:dyDescent="0.25">
      <c r="A622" s="33"/>
      <c r="B622" s="33"/>
      <c r="C622" s="33"/>
      <c r="D622" s="33"/>
      <c r="E622" s="33"/>
    </row>
    <row r="623" spans="1:5" x14ac:dyDescent="0.25">
      <c r="A623" s="33"/>
      <c r="B623" s="33"/>
      <c r="C623" s="33"/>
      <c r="D623" s="33"/>
      <c r="E623" s="33"/>
    </row>
    <row r="624" spans="1:5" x14ac:dyDescent="0.25">
      <c r="A624" s="33"/>
      <c r="B624" s="33"/>
      <c r="C624" s="33"/>
      <c r="D624" s="33"/>
      <c r="E624" s="33"/>
    </row>
    <row r="625" spans="1:5" x14ac:dyDescent="0.25">
      <c r="A625" s="33"/>
      <c r="B625" s="33"/>
      <c r="C625" s="33"/>
      <c r="D625" s="33"/>
      <c r="E625" s="33"/>
    </row>
    <row r="626" spans="1:5" x14ac:dyDescent="0.25">
      <c r="A626" s="33"/>
      <c r="B626" s="33"/>
      <c r="C626" s="33"/>
      <c r="D626" s="33"/>
      <c r="E626" s="33"/>
    </row>
    <row r="627" spans="1:5" x14ac:dyDescent="0.25">
      <c r="A627" s="33"/>
      <c r="B627" s="33"/>
      <c r="C627" s="33"/>
      <c r="D627" s="33"/>
      <c r="E627" s="33"/>
    </row>
    <row r="628" spans="1:5" x14ac:dyDescent="0.25">
      <c r="A628" s="33"/>
      <c r="B628" s="33"/>
      <c r="C628" s="33"/>
      <c r="D628" s="33"/>
      <c r="E628" s="33"/>
    </row>
    <row r="629" spans="1:5" x14ac:dyDescent="0.25">
      <c r="A629" s="33"/>
      <c r="B629" s="33"/>
      <c r="C629" s="33"/>
      <c r="D629" s="33"/>
      <c r="E629" s="33"/>
    </row>
    <row r="630" spans="1:5" x14ac:dyDescent="0.25">
      <c r="A630" s="33"/>
      <c r="B630" s="33"/>
      <c r="C630" s="33"/>
      <c r="D630" s="33"/>
      <c r="E630" s="33"/>
    </row>
    <row r="631" spans="1:5" x14ac:dyDescent="0.25">
      <c r="A631" s="33"/>
      <c r="B631" s="33"/>
      <c r="C631" s="33"/>
      <c r="D631" s="33"/>
      <c r="E631" s="33"/>
    </row>
    <row r="632" spans="1:5" x14ac:dyDescent="0.25">
      <c r="A632" s="33"/>
      <c r="B632" s="33"/>
      <c r="C632" s="33"/>
      <c r="D632" s="33"/>
      <c r="E632" s="33"/>
    </row>
    <row r="633" spans="1:5" x14ac:dyDescent="0.25">
      <c r="A633" s="33"/>
      <c r="B633" s="33"/>
      <c r="C633" s="33"/>
      <c r="D633" s="33"/>
      <c r="E633" s="33"/>
    </row>
    <row r="634" spans="1:5" x14ac:dyDescent="0.25">
      <c r="A634" s="33"/>
      <c r="B634" s="33"/>
      <c r="C634" s="33"/>
      <c r="D634" s="33"/>
      <c r="E634" s="33"/>
    </row>
    <row r="635" spans="1:5" x14ac:dyDescent="0.25">
      <c r="A635" s="33"/>
      <c r="B635" s="33"/>
      <c r="C635" s="33"/>
      <c r="D635" s="33"/>
      <c r="E635" s="33"/>
    </row>
    <row r="636" spans="1:5" x14ac:dyDescent="0.25">
      <c r="A636" s="33"/>
      <c r="B636" s="33"/>
      <c r="C636" s="33"/>
      <c r="D636" s="33"/>
      <c r="E636" s="33"/>
    </row>
    <row r="637" spans="1:5" x14ac:dyDescent="0.25">
      <c r="A637" s="33"/>
      <c r="B637" s="33"/>
      <c r="C637" s="33"/>
      <c r="D637" s="33"/>
      <c r="E637" s="33"/>
    </row>
    <row r="638" spans="1:5" x14ac:dyDescent="0.25">
      <c r="A638" s="33"/>
      <c r="B638" s="33"/>
      <c r="C638" s="33"/>
      <c r="D638" s="33"/>
      <c r="E638" s="33"/>
    </row>
    <row r="639" spans="1:5" x14ac:dyDescent="0.25">
      <c r="A639" s="33"/>
      <c r="B639" s="33"/>
      <c r="C639" s="33"/>
      <c r="D639" s="33"/>
      <c r="E639" s="33"/>
    </row>
    <row r="640" spans="1:5" x14ac:dyDescent="0.25">
      <c r="A640" s="33"/>
      <c r="B640" s="33"/>
      <c r="C640" s="33"/>
      <c r="D640" s="33"/>
      <c r="E640" s="33"/>
    </row>
    <row r="641" spans="1:5" x14ac:dyDescent="0.25">
      <c r="A641" s="33"/>
      <c r="B641" s="33"/>
      <c r="C641" s="33"/>
      <c r="D641" s="33"/>
      <c r="E641" s="33"/>
    </row>
    <row r="642" spans="1:5" x14ac:dyDescent="0.25">
      <c r="A642" s="33"/>
      <c r="B642" s="33"/>
      <c r="C642" s="33"/>
      <c r="D642" s="33"/>
      <c r="E642" s="33"/>
    </row>
    <row r="643" spans="1:5" x14ac:dyDescent="0.25">
      <c r="A643" s="33"/>
      <c r="B643" s="33"/>
      <c r="C643" s="33"/>
      <c r="D643" s="33"/>
      <c r="E643" s="33"/>
    </row>
    <row r="644" spans="1:5" x14ac:dyDescent="0.25">
      <c r="A644" s="33"/>
      <c r="B644" s="33"/>
      <c r="C644" s="33"/>
      <c r="D644" s="33"/>
      <c r="E644" s="33"/>
    </row>
    <row r="645" spans="1:5" x14ac:dyDescent="0.25">
      <c r="A645" s="33"/>
      <c r="B645" s="33"/>
      <c r="C645" s="33"/>
      <c r="D645" s="33"/>
      <c r="E645" s="33"/>
    </row>
    <row r="646" spans="1:5" x14ac:dyDescent="0.25">
      <c r="A646" s="33"/>
      <c r="B646" s="33"/>
      <c r="C646" s="33"/>
      <c r="D646" s="33"/>
      <c r="E646" s="33"/>
    </row>
    <row r="647" spans="1:5" x14ac:dyDescent="0.25">
      <c r="A647" s="33"/>
      <c r="B647" s="33"/>
      <c r="C647" s="33"/>
      <c r="D647" s="33"/>
      <c r="E647" s="33"/>
    </row>
    <row r="648" spans="1:5" x14ac:dyDescent="0.25">
      <c r="A648" s="33"/>
      <c r="B648" s="33"/>
      <c r="C648" s="33"/>
      <c r="D648" s="33"/>
      <c r="E648" s="33"/>
    </row>
    <row r="649" spans="1:5" x14ac:dyDescent="0.25">
      <c r="A649" s="33"/>
      <c r="B649" s="33"/>
      <c r="C649" s="33"/>
      <c r="D649" s="33"/>
      <c r="E649" s="33"/>
    </row>
    <row r="650" spans="1:5" x14ac:dyDescent="0.25">
      <c r="A650" s="33"/>
      <c r="B650" s="33"/>
      <c r="C650" s="33"/>
      <c r="D650" s="33"/>
      <c r="E650" s="33"/>
    </row>
    <row r="651" spans="1:5" x14ac:dyDescent="0.25">
      <c r="A651" s="33"/>
      <c r="B651" s="33"/>
      <c r="C651" s="33"/>
      <c r="D651" s="33"/>
      <c r="E651" s="33"/>
    </row>
    <row r="652" spans="1:5" x14ac:dyDescent="0.25">
      <c r="A652" s="33"/>
      <c r="B652" s="33"/>
      <c r="C652" s="33"/>
      <c r="D652" s="33"/>
      <c r="E652" s="33"/>
    </row>
    <row r="653" spans="1:5" x14ac:dyDescent="0.25">
      <c r="A653" s="33"/>
      <c r="B653" s="33"/>
      <c r="C653" s="33"/>
      <c r="D653" s="33"/>
      <c r="E653" s="33"/>
    </row>
    <row r="654" spans="1:5" x14ac:dyDescent="0.25">
      <c r="A654" s="33"/>
      <c r="B654" s="33"/>
      <c r="C654" s="33"/>
      <c r="D654" s="33"/>
      <c r="E654" s="33"/>
    </row>
    <row r="655" spans="1:5" x14ac:dyDescent="0.25">
      <c r="A655" s="33"/>
      <c r="B655" s="33"/>
      <c r="C655" s="33"/>
      <c r="D655" s="33"/>
      <c r="E655" s="33"/>
    </row>
    <row r="656" spans="1:5" x14ac:dyDescent="0.25">
      <c r="A656" s="33"/>
      <c r="B656" s="33"/>
      <c r="C656" s="33"/>
      <c r="D656" s="33"/>
      <c r="E656" s="33"/>
    </row>
    <row r="657" spans="1:5" x14ac:dyDescent="0.25">
      <c r="A657" s="33"/>
      <c r="B657" s="33"/>
      <c r="C657" s="33"/>
      <c r="D657" s="33"/>
      <c r="E657" s="33"/>
    </row>
    <row r="658" spans="1:5" x14ac:dyDescent="0.25">
      <c r="A658" s="33"/>
      <c r="B658" s="33"/>
      <c r="C658" s="33"/>
      <c r="D658" s="33"/>
      <c r="E658" s="33"/>
    </row>
    <row r="659" spans="1:5" x14ac:dyDescent="0.25">
      <c r="A659" s="33"/>
      <c r="B659" s="33"/>
      <c r="C659" s="33"/>
      <c r="D659" s="33"/>
      <c r="E659" s="33"/>
    </row>
    <row r="660" spans="1:5" x14ac:dyDescent="0.25">
      <c r="A660" s="33"/>
      <c r="B660" s="33"/>
      <c r="C660" s="33"/>
      <c r="D660" s="33"/>
      <c r="E660" s="33"/>
    </row>
    <row r="661" spans="1:5" x14ac:dyDescent="0.25">
      <c r="A661" s="33"/>
      <c r="B661" s="33"/>
      <c r="C661" s="33"/>
      <c r="D661" s="33"/>
      <c r="E661" s="33"/>
    </row>
    <row r="662" spans="1:5" x14ac:dyDescent="0.25">
      <c r="A662" s="33"/>
      <c r="B662" s="33"/>
      <c r="C662" s="33"/>
      <c r="D662" s="33"/>
      <c r="E662" s="33"/>
    </row>
    <row r="663" spans="1:5" x14ac:dyDescent="0.25">
      <c r="A663" s="33"/>
      <c r="B663" s="33"/>
      <c r="C663" s="33"/>
      <c r="D663" s="33"/>
      <c r="E663" s="33"/>
    </row>
    <row r="664" spans="1:5" x14ac:dyDescent="0.25">
      <c r="A664" s="33"/>
      <c r="B664" s="33"/>
      <c r="C664" s="33"/>
      <c r="D664" s="33"/>
      <c r="E664" s="33"/>
    </row>
    <row r="665" spans="1:5" x14ac:dyDescent="0.25">
      <c r="A665" s="33"/>
      <c r="B665" s="33"/>
      <c r="C665" s="33"/>
      <c r="D665" s="33"/>
      <c r="E665" s="33"/>
    </row>
    <row r="666" spans="1:5" x14ac:dyDescent="0.25">
      <c r="A666" s="33"/>
      <c r="B666" s="33"/>
      <c r="C666" s="33"/>
      <c r="D666" s="33"/>
      <c r="E666" s="33"/>
    </row>
    <row r="667" spans="1:5" x14ac:dyDescent="0.25">
      <c r="A667" s="33"/>
      <c r="B667" s="33"/>
      <c r="C667" s="33"/>
      <c r="D667" s="33"/>
      <c r="E667" s="33"/>
    </row>
    <row r="668" spans="1:5" x14ac:dyDescent="0.25">
      <c r="A668" s="33"/>
      <c r="B668" s="33"/>
      <c r="C668" s="33"/>
      <c r="D668" s="33"/>
      <c r="E668" s="33"/>
    </row>
    <row r="669" spans="1:5" x14ac:dyDescent="0.25">
      <c r="A669" s="33"/>
      <c r="B669" s="33"/>
      <c r="C669" s="33"/>
      <c r="D669" s="33"/>
      <c r="E669" s="33"/>
    </row>
    <row r="670" spans="1:5" x14ac:dyDescent="0.25">
      <c r="A670" s="33"/>
      <c r="B670" s="33"/>
      <c r="C670" s="33"/>
      <c r="D670" s="33"/>
      <c r="E670" s="33"/>
    </row>
    <row r="671" spans="1:5" x14ac:dyDescent="0.25">
      <c r="A671" s="33"/>
      <c r="B671" s="33"/>
      <c r="C671" s="33"/>
      <c r="D671" s="33"/>
      <c r="E671" s="33"/>
    </row>
    <row r="672" spans="1:5" x14ac:dyDescent="0.25">
      <c r="A672" s="33"/>
      <c r="B672" s="33"/>
      <c r="C672" s="33"/>
      <c r="D672" s="33"/>
      <c r="E672" s="33"/>
    </row>
    <row r="673" spans="1:5" x14ac:dyDescent="0.25">
      <c r="A673" s="33"/>
      <c r="B673" s="33"/>
      <c r="C673" s="33"/>
      <c r="D673" s="33"/>
      <c r="E673" s="33"/>
    </row>
    <row r="674" spans="1:5" x14ac:dyDescent="0.25">
      <c r="A674" s="33"/>
      <c r="B674" s="33"/>
      <c r="C674" s="33"/>
      <c r="D674" s="33"/>
      <c r="E674" s="33"/>
    </row>
    <row r="675" spans="1:5" x14ac:dyDescent="0.25">
      <c r="A675" s="33"/>
      <c r="B675" s="33"/>
      <c r="C675" s="33"/>
      <c r="D675" s="33"/>
      <c r="E675" s="33"/>
    </row>
    <row r="676" spans="1:5" x14ac:dyDescent="0.25">
      <c r="A676" s="33"/>
      <c r="B676" s="33"/>
      <c r="C676" s="33"/>
      <c r="D676" s="33"/>
      <c r="E676" s="33"/>
    </row>
    <row r="677" spans="1:5" x14ac:dyDescent="0.25">
      <c r="A677" s="33"/>
      <c r="B677" s="33"/>
      <c r="C677" s="33"/>
      <c r="D677" s="33"/>
      <c r="E677" s="33"/>
    </row>
    <row r="678" spans="1:5" x14ac:dyDescent="0.25">
      <c r="A678" s="33"/>
      <c r="B678" s="33"/>
      <c r="C678" s="33"/>
      <c r="D678" s="33"/>
      <c r="E678" s="33"/>
    </row>
    <row r="679" spans="1:5" x14ac:dyDescent="0.25">
      <c r="A679" s="33"/>
      <c r="B679" s="33"/>
      <c r="C679" s="33"/>
      <c r="D679" s="33"/>
      <c r="E679" s="33"/>
    </row>
    <row r="680" spans="1:5" x14ac:dyDescent="0.25">
      <c r="A680" s="33"/>
      <c r="B680" s="33"/>
      <c r="C680" s="33"/>
      <c r="D680" s="33"/>
      <c r="E680" s="33"/>
    </row>
    <row r="681" spans="1:5" x14ac:dyDescent="0.25">
      <c r="A681" s="33"/>
      <c r="B681" s="33"/>
      <c r="C681" s="33"/>
      <c r="D681" s="33"/>
      <c r="E681" s="33"/>
    </row>
    <row r="682" spans="1:5" x14ac:dyDescent="0.25">
      <c r="A682" s="33"/>
      <c r="B682" s="33"/>
      <c r="C682" s="33"/>
      <c r="D682" s="33"/>
      <c r="E682" s="33"/>
    </row>
    <row r="683" spans="1:5" x14ac:dyDescent="0.25">
      <c r="A683" s="33"/>
      <c r="B683" s="33"/>
      <c r="C683" s="33"/>
      <c r="D683" s="33"/>
      <c r="E683" s="33"/>
    </row>
    <row r="684" spans="1:5" x14ac:dyDescent="0.25">
      <c r="A684" s="33"/>
      <c r="B684" s="33"/>
      <c r="C684" s="33"/>
      <c r="D684" s="33"/>
      <c r="E684" s="33"/>
    </row>
    <row r="685" spans="1:5" x14ac:dyDescent="0.25">
      <c r="A685" s="33"/>
      <c r="B685" s="33"/>
      <c r="C685" s="33"/>
      <c r="D685" s="33"/>
      <c r="E685" s="33"/>
    </row>
    <row r="686" spans="1:5" x14ac:dyDescent="0.25">
      <c r="A686" s="33"/>
      <c r="B686" s="33"/>
      <c r="C686" s="33"/>
      <c r="D686" s="33"/>
      <c r="E686" s="33"/>
    </row>
    <row r="687" spans="1:5" x14ac:dyDescent="0.25">
      <c r="A687" s="33"/>
      <c r="B687" s="33"/>
      <c r="C687" s="33"/>
      <c r="D687" s="33"/>
      <c r="E687" s="33"/>
    </row>
    <row r="688" spans="1:5" x14ac:dyDescent="0.25">
      <c r="A688" s="33"/>
      <c r="B688" s="33"/>
      <c r="C688" s="33"/>
      <c r="D688" s="33"/>
      <c r="E688" s="33"/>
    </row>
    <row r="689" spans="1:5" x14ac:dyDescent="0.25">
      <c r="A689" s="33"/>
      <c r="B689" s="33"/>
      <c r="C689" s="33"/>
      <c r="D689" s="33"/>
      <c r="E689" s="33"/>
    </row>
    <row r="690" spans="1:5" x14ac:dyDescent="0.25">
      <c r="A690" s="33"/>
      <c r="B690" s="33"/>
      <c r="C690" s="33"/>
      <c r="D690" s="33"/>
      <c r="E690" s="33"/>
    </row>
    <row r="691" spans="1:5" x14ac:dyDescent="0.25">
      <c r="A691" s="33"/>
      <c r="B691" s="33"/>
      <c r="C691" s="33"/>
      <c r="D691" s="33"/>
      <c r="E691" s="33"/>
    </row>
    <row r="692" spans="1:5" x14ac:dyDescent="0.25">
      <c r="A692" s="33"/>
      <c r="B692" s="33"/>
      <c r="C692" s="33"/>
      <c r="D692" s="33"/>
      <c r="E692" s="33"/>
    </row>
    <row r="693" spans="1:5" x14ac:dyDescent="0.25">
      <c r="A693" s="33"/>
      <c r="B693" s="33"/>
      <c r="C693" s="33"/>
      <c r="D693" s="33"/>
      <c r="E693" s="33"/>
    </row>
    <row r="694" spans="1:5" x14ac:dyDescent="0.25">
      <c r="A694" s="33"/>
      <c r="B694" s="33"/>
      <c r="C694" s="33"/>
      <c r="D694" s="33"/>
      <c r="E694" s="33"/>
    </row>
    <row r="695" spans="1:5" x14ac:dyDescent="0.25">
      <c r="A695" s="33"/>
      <c r="B695" s="33"/>
      <c r="C695" s="33"/>
      <c r="D695" s="33"/>
      <c r="E695" s="33"/>
    </row>
    <row r="696" spans="1:5" x14ac:dyDescent="0.25">
      <c r="A696" s="33"/>
      <c r="B696" s="33"/>
      <c r="C696" s="33"/>
      <c r="D696" s="33"/>
      <c r="E696" s="33"/>
    </row>
    <row r="697" spans="1:5" x14ac:dyDescent="0.25">
      <c r="A697" s="33"/>
      <c r="B697" s="33"/>
      <c r="C697" s="33"/>
      <c r="D697" s="33"/>
      <c r="E697" s="33"/>
    </row>
    <row r="698" spans="1:5" x14ac:dyDescent="0.25">
      <c r="A698" s="33"/>
      <c r="B698" s="33"/>
      <c r="C698" s="33"/>
      <c r="D698" s="33"/>
      <c r="E698" s="33"/>
    </row>
    <row r="699" spans="1:5" x14ac:dyDescent="0.25">
      <c r="A699" s="33"/>
      <c r="B699" s="33"/>
      <c r="C699" s="33"/>
      <c r="D699" s="33"/>
      <c r="E699" s="33"/>
    </row>
    <row r="700" spans="1:5" x14ac:dyDescent="0.25">
      <c r="A700" s="33"/>
      <c r="B700" s="33"/>
      <c r="C700" s="33"/>
      <c r="D700" s="33"/>
      <c r="E700" s="33"/>
    </row>
    <row r="701" spans="1:5" x14ac:dyDescent="0.25">
      <c r="A701" s="33"/>
      <c r="B701" s="33"/>
      <c r="C701" s="33"/>
      <c r="D701" s="33"/>
      <c r="E701" s="33"/>
    </row>
    <row r="702" spans="1:5" x14ac:dyDescent="0.25">
      <c r="A702" s="33"/>
      <c r="B702" s="33"/>
      <c r="C702" s="33"/>
      <c r="D702" s="33"/>
      <c r="E702" s="33"/>
    </row>
    <row r="703" spans="1:5" x14ac:dyDescent="0.25">
      <c r="A703" s="33"/>
      <c r="B703" s="33"/>
      <c r="C703" s="33"/>
      <c r="D703" s="33"/>
      <c r="E703" s="33"/>
    </row>
    <row r="704" spans="1:5" x14ac:dyDescent="0.25">
      <c r="A704" s="33"/>
      <c r="B704" s="33"/>
      <c r="C704" s="33"/>
      <c r="D704" s="33"/>
      <c r="E704" s="33"/>
    </row>
    <row r="705" spans="1:5" x14ac:dyDescent="0.25">
      <c r="A705" s="33"/>
      <c r="B705" s="33"/>
      <c r="C705" s="33"/>
      <c r="D705" s="33"/>
      <c r="E705" s="33"/>
    </row>
    <row r="706" spans="1:5" x14ac:dyDescent="0.25">
      <c r="A706" s="33"/>
      <c r="B706" s="33"/>
      <c r="C706" s="33"/>
      <c r="D706" s="33"/>
      <c r="E706" s="33"/>
    </row>
    <row r="707" spans="1:5" x14ac:dyDescent="0.25">
      <c r="A707" s="33"/>
      <c r="B707" s="33"/>
      <c r="C707" s="33"/>
      <c r="D707" s="33"/>
      <c r="E707" s="33"/>
    </row>
    <row r="708" spans="1:5" x14ac:dyDescent="0.25">
      <c r="A708" s="33"/>
      <c r="B708" s="33"/>
      <c r="C708" s="33"/>
      <c r="D708" s="33"/>
      <c r="E708" s="33"/>
    </row>
    <row r="709" spans="1:5" x14ac:dyDescent="0.25">
      <c r="A709" s="33"/>
      <c r="B709" s="33"/>
      <c r="C709" s="33"/>
      <c r="D709" s="33"/>
      <c r="E709" s="33"/>
    </row>
    <row r="710" spans="1:5" x14ac:dyDescent="0.25">
      <c r="A710" s="33"/>
      <c r="B710" s="33"/>
      <c r="C710" s="33"/>
      <c r="D710" s="33"/>
      <c r="E710" s="33"/>
    </row>
    <row r="711" spans="1:5" x14ac:dyDescent="0.25">
      <c r="A711" s="33"/>
      <c r="B711" s="33"/>
      <c r="C711" s="33"/>
      <c r="D711" s="33"/>
      <c r="E711" s="33"/>
    </row>
    <row r="712" spans="1:5" x14ac:dyDescent="0.25">
      <c r="A712" s="33"/>
      <c r="B712" s="33"/>
      <c r="C712" s="33"/>
      <c r="D712" s="33"/>
      <c r="E712" s="33"/>
    </row>
    <row r="713" spans="1:5" x14ac:dyDescent="0.25">
      <c r="A713" s="33"/>
      <c r="B713" s="33"/>
      <c r="C713" s="33"/>
      <c r="D713" s="33"/>
      <c r="E713" s="33"/>
    </row>
    <row r="714" spans="1:5" x14ac:dyDescent="0.25">
      <c r="A714" s="33"/>
      <c r="B714" s="33"/>
      <c r="C714" s="33"/>
      <c r="D714" s="33"/>
      <c r="E714" s="33"/>
    </row>
    <row r="715" spans="1:5" x14ac:dyDescent="0.25">
      <c r="A715" s="33"/>
      <c r="B715" s="33"/>
      <c r="C715" s="33"/>
      <c r="D715" s="33"/>
      <c r="E715" s="33"/>
    </row>
    <row r="716" spans="1:5" x14ac:dyDescent="0.25">
      <c r="A716" s="33"/>
      <c r="B716" s="33"/>
      <c r="C716" s="33"/>
      <c r="D716" s="33"/>
      <c r="E716" s="33"/>
    </row>
    <row r="717" spans="1:5" x14ac:dyDescent="0.25">
      <c r="A717" s="33"/>
      <c r="B717" s="33"/>
      <c r="C717" s="33"/>
      <c r="D717" s="33"/>
      <c r="E717" s="33"/>
    </row>
    <row r="718" spans="1:5" x14ac:dyDescent="0.25">
      <c r="A718" s="33"/>
      <c r="B718" s="33"/>
      <c r="C718" s="33"/>
      <c r="D718" s="33"/>
      <c r="E718" s="33"/>
    </row>
    <row r="719" spans="1:5" x14ac:dyDescent="0.25">
      <c r="A719" s="33"/>
      <c r="B719" s="33"/>
      <c r="C719" s="33"/>
      <c r="D719" s="33"/>
      <c r="E719" s="33"/>
    </row>
    <row r="720" spans="1:5" x14ac:dyDescent="0.25">
      <c r="A720" s="33"/>
      <c r="B720" s="33"/>
      <c r="C720" s="33"/>
      <c r="D720" s="33"/>
      <c r="E720" s="33"/>
    </row>
    <row r="721" spans="1:5" x14ac:dyDescent="0.25">
      <c r="A721" s="33"/>
      <c r="B721" s="33"/>
      <c r="C721" s="33"/>
      <c r="D721" s="33"/>
      <c r="E721" s="33"/>
    </row>
    <row r="722" spans="1:5" x14ac:dyDescent="0.25">
      <c r="A722" s="33"/>
      <c r="B722" s="33"/>
      <c r="C722" s="33"/>
      <c r="D722" s="33"/>
      <c r="E722" s="33"/>
    </row>
    <row r="723" spans="1:5" x14ac:dyDescent="0.25">
      <c r="A723" s="33"/>
      <c r="B723" s="33"/>
      <c r="C723" s="33"/>
      <c r="D723" s="33"/>
      <c r="E723" s="33"/>
    </row>
    <row r="724" spans="1:5" x14ac:dyDescent="0.25">
      <c r="A724" s="33"/>
      <c r="B724" s="33"/>
      <c r="C724" s="33"/>
      <c r="D724" s="33"/>
      <c r="E724" s="33"/>
    </row>
    <row r="725" spans="1:5" x14ac:dyDescent="0.25">
      <c r="A725" s="33"/>
      <c r="B725" s="33"/>
      <c r="C725" s="33"/>
      <c r="D725" s="33"/>
      <c r="E725" s="33"/>
    </row>
    <row r="726" spans="1:5" x14ac:dyDescent="0.25">
      <c r="A726" s="33"/>
      <c r="B726" s="33"/>
      <c r="C726" s="33"/>
      <c r="D726" s="33"/>
      <c r="E726" s="33"/>
    </row>
    <row r="727" spans="1:5" x14ac:dyDescent="0.25">
      <c r="A727" s="33"/>
      <c r="B727" s="33"/>
      <c r="C727" s="33"/>
      <c r="D727" s="33"/>
      <c r="E727" s="33"/>
    </row>
    <row r="728" spans="1:5" x14ac:dyDescent="0.25">
      <c r="A728" s="33"/>
      <c r="B728" s="33"/>
      <c r="C728" s="33"/>
      <c r="D728" s="33"/>
      <c r="E728" s="33"/>
    </row>
    <row r="729" spans="1:5" x14ac:dyDescent="0.25">
      <c r="A729" s="33"/>
      <c r="B729" s="33"/>
      <c r="C729" s="33"/>
      <c r="D729" s="33"/>
      <c r="E729" s="33"/>
    </row>
    <row r="730" spans="1:5" x14ac:dyDescent="0.25">
      <c r="A730" s="33"/>
      <c r="B730" s="33"/>
      <c r="C730" s="33"/>
      <c r="D730" s="33"/>
      <c r="E730" s="33"/>
    </row>
    <row r="731" spans="1:5" x14ac:dyDescent="0.25">
      <c r="A731" s="33"/>
      <c r="B731" s="33"/>
      <c r="C731" s="33"/>
      <c r="D731" s="33"/>
      <c r="E731" s="33"/>
    </row>
    <row r="732" spans="1:5" x14ac:dyDescent="0.25">
      <c r="A732" s="33"/>
      <c r="B732" s="33"/>
      <c r="C732" s="33"/>
      <c r="D732" s="33"/>
      <c r="E732" s="33"/>
    </row>
    <row r="733" spans="1:5" x14ac:dyDescent="0.25">
      <c r="A733" s="33"/>
      <c r="B733" s="33"/>
      <c r="C733" s="33"/>
      <c r="D733" s="33"/>
      <c r="E733" s="33"/>
    </row>
    <row r="734" spans="1:5" x14ac:dyDescent="0.25">
      <c r="A734" s="33"/>
      <c r="B734" s="33"/>
      <c r="C734" s="33"/>
      <c r="D734" s="33"/>
      <c r="E734" s="33"/>
    </row>
    <row r="735" spans="1:5" x14ac:dyDescent="0.25">
      <c r="A735" s="33"/>
      <c r="B735" s="33"/>
      <c r="C735" s="33"/>
      <c r="D735" s="33"/>
      <c r="E735" s="33"/>
    </row>
    <row r="736" spans="1:5" x14ac:dyDescent="0.25">
      <c r="A736" s="33"/>
      <c r="B736" s="33"/>
      <c r="C736" s="33"/>
      <c r="D736" s="33"/>
      <c r="E736" s="33"/>
    </row>
    <row r="737" spans="1:5" x14ac:dyDescent="0.25">
      <c r="A737" s="33"/>
      <c r="B737" s="33"/>
      <c r="C737" s="33"/>
      <c r="D737" s="33"/>
      <c r="E737" s="33"/>
    </row>
    <row r="738" spans="1:5" x14ac:dyDescent="0.25">
      <c r="A738" s="33"/>
      <c r="B738" s="33"/>
      <c r="C738" s="33"/>
      <c r="D738" s="33"/>
      <c r="E738" s="33"/>
    </row>
    <row r="739" spans="1:5" x14ac:dyDescent="0.25">
      <c r="A739" s="33"/>
      <c r="B739" s="33"/>
      <c r="C739" s="33"/>
      <c r="D739" s="33"/>
      <c r="E739" s="33"/>
    </row>
    <row r="740" spans="1:5" x14ac:dyDescent="0.25">
      <c r="A740" s="33"/>
      <c r="B740" s="33"/>
      <c r="C740" s="33"/>
      <c r="D740" s="33"/>
      <c r="E740" s="33"/>
    </row>
    <row r="741" spans="1:5" x14ac:dyDescent="0.25">
      <c r="A741" s="33"/>
      <c r="B741" s="33"/>
      <c r="C741" s="33"/>
      <c r="D741" s="33"/>
      <c r="E741" s="33"/>
    </row>
    <row r="742" spans="1:5" x14ac:dyDescent="0.25">
      <c r="A742" s="33"/>
      <c r="B742" s="33"/>
      <c r="C742" s="33"/>
      <c r="D742" s="33"/>
      <c r="E742" s="33"/>
    </row>
    <row r="743" spans="1:5" x14ac:dyDescent="0.25">
      <c r="A743" s="33"/>
      <c r="B743" s="33"/>
      <c r="C743" s="33"/>
      <c r="D743" s="33"/>
      <c r="E743" s="33"/>
    </row>
    <row r="744" spans="1:5" x14ac:dyDescent="0.25">
      <c r="A744" s="33"/>
      <c r="B744" s="33"/>
      <c r="C744" s="33"/>
      <c r="D744" s="33"/>
      <c r="E744" s="33"/>
    </row>
    <row r="745" spans="1:5" x14ac:dyDescent="0.25">
      <c r="A745" s="33"/>
      <c r="B745" s="33"/>
      <c r="C745" s="33"/>
      <c r="D745" s="33"/>
      <c r="E745" s="33"/>
    </row>
    <row r="746" spans="1:5" x14ac:dyDescent="0.25">
      <c r="A746" s="33"/>
      <c r="B746" s="33"/>
      <c r="C746" s="33"/>
      <c r="D746" s="33"/>
      <c r="E746" s="33"/>
    </row>
    <row r="747" spans="1:5" x14ac:dyDescent="0.25">
      <c r="A747" s="33"/>
      <c r="B747" s="33"/>
      <c r="C747" s="33"/>
      <c r="D747" s="33"/>
      <c r="E747" s="33"/>
    </row>
    <row r="748" spans="1:5" x14ac:dyDescent="0.25">
      <c r="A748" s="33"/>
      <c r="B748" s="33"/>
      <c r="C748" s="33"/>
      <c r="D748" s="33"/>
      <c r="E748" s="33"/>
    </row>
    <row r="749" spans="1:5" x14ac:dyDescent="0.25">
      <c r="A749" s="33"/>
      <c r="B749" s="33"/>
      <c r="C749" s="33"/>
      <c r="D749" s="33"/>
      <c r="E749" s="33"/>
    </row>
    <row r="750" spans="1:5" x14ac:dyDescent="0.25">
      <c r="A750" s="33"/>
      <c r="B750" s="33"/>
      <c r="C750" s="33"/>
      <c r="D750" s="33"/>
      <c r="E750" s="33"/>
    </row>
    <row r="751" spans="1:5" x14ac:dyDescent="0.25">
      <c r="A751" s="33"/>
      <c r="B751" s="33"/>
      <c r="C751" s="33"/>
      <c r="D751" s="33"/>
      <c r="E751" s="33"/>
    </row>
    <row r="752" spans="1:5" x14ac:dyDescent="0.25">
      <c r="A752" s="33"/>
      <c r="B752" s="33"/>
      <c r="C752" s="33"/>
      <c r="D752" s="33"/>
      <c r="E752" s="33"/>
    </row>
    <row r="753" spans="1:5" x14ac:dyDescent="0.25">
      <c r="A753" s="33"/>
      <c r="B753" s="33"/>
      <c r="C753" s="33"/>
      <c r="D753" s="33"/>
      <c r="E753" s="33"/>
    </row>
    <row r="754" spans="1:5" x14ac:dyDescent="0.25">
      <c r="A754" s="33"/>
      <c r="B754" s="33"/>
      <c r="C754" s="33"/>
      <c r="D754" s="33"/>
      <c r="E754" s="33"/>
    </row>
    <row r="755" spans="1:5" x14ac:dyDescent="0.25">
      <c r="A755" s="33"/>
      <c r="B755" s="33"/>
      <c r="C755" s="33"/>
      <c r="D755" s="33"/>
      <c r="E755" s="33"/>
    </row>
    <row r="756" spans="1:5" x14ac:dyDescent="0.25">
      <c r="A756" s="33"/>
      <c r="B756" s="33"/>
      <c r="C756" s="33"/>
      <c r="D756" s="33"/>
      <c r="E756" s="33"/>
    </row>
    <row r="757" spans="1:5" x14ac:dyDescent="0.25">
      <c r="A757" s="33"/>
      <c r="B757" s="33"/>
      <c r="C757" s="33"/>
      <c r="D757" s="33"/>
      <c r="E757" s="33"/>
    </row>
    <row r="758" spans="1:5" x14ac:dyDescent="0.25">
      <c r="A758" s="33"/>
      <c r="B758" s="33"/>
      <c r="C758" s="33"/>
      <c r="D758" s="33"/>
      <c r="E758" s="33"/>
    </row>
    <row r="759" spans="1:5" x14ac:dyDescent="0.25">
      <c r="A759" s="33"/>
      <c r="B759" s="33"/>
      <c r="C759" s="33"/>
      <c r="D759" s="33"/>
      <c r="E759" s="33"/>
    </row>
    <row r="760" spans="1:5" x14ac:dyDescent="0.25">
      <c r="A760" s="33"/>
      <c r="B760" s="33"/>
      <c r="C760" s="33"/>
      <c r="D760" s="33"/>
      <c r="E760" s="33"/>
    </row>
    <row r="761" spans="1:5" x14ac:dyDescent="0.25">
      <c r="A761" s="33"/>
      <c r="B761" s="33"/>
      <c r="C761" s="33"/>
      <c r="D761" s="33"/>
      <c r="E761" s="33"/>
    </row>
    <row r="762" spans="1:5" x14ac:dyDescent="0.25">
      <c r="A762" s="33"/>
      <c r="B762" s="33"/>
      <c r="C762" s="33"/>
      <c r="D762" s="33"/>
      <c r="E762" s="33"/>
    </row>
    <row r="763" spans="1:5" x14ac:dyDescent="0.25">
      <c r="A763" s="33"/>
      <c r="B763" s="33"/>
      <c r="C763" s="33"/>
      <c r="D763" s="33"/>
      <c r="E763" s="33"/>
    </row>
    <row r="764" spans="1:5" x14ac:dyDescent="0.25">
      <c r="A764" s="33"/>
      <c r="B764" s="33"/>
      <c r="C764" s="33"/>
      <c r="D764" s="33"/>
      <c r="E764" s="33"/>
    </row>
    <row r="765" spans="1:5" x14ac:dyDescent="0.25">
      <c r="A765" s="33"/>
      <c r="B765" s="33"/>
      <c r="C765" s="33"/>
      <c r="D765" s="33"/>
      <c r="E765" s="33"/>
    </row>
    <row r="766" spans="1:5" x14ac:dyDescent="0.25">
      <c r="A766" s="33"/>
      <c r="B766" s="33"/>
      <c r="C766" s="33"/>
      <c r="D766" s="33"/>
      <c r="E766" s="33"/>
    </row>
    <row r="767" spans="1:5" x14ac:dyDescent="0.25">
      <c r="A767" s="33"/>
      <c r="B767" s="33"/>
      <c r="C767" s="33"/>
      <c r="D767" s="33"/>
      <c r="E767" s="33"/>
    </row>
    <row r="768" spans="1:5" x14ac:dyDescent="0.25">
      <c r="A768" s="33"/>
      <c r="B768" s="33"/>
      <c r="C768" s="33"/>
      <c r="D768" s="33"/>
      <c r="E768" s="33"/>
    </row>
    <row r="769" spans="1:5" x14ac:dyDescent="0.25">
      <c r="A769" s="33"/>
      <c r="B769" s="33"/>
      <c r="C769" s="33"/>
      <c r="D769" s="33"/>
      <c r="E769" s="33"/>
    </row>
    <row r="770" spans="1:5" x14ac:dyDescent="0.25">
      <c r="A770" s="33"/>
      <c r="B770" s="33"/>
      <c r="C770" s="33"/>
      <c r="D770" s="33"/>
      <c r="E770" s="33"/>
    </row>
    <row r="771" spans="1:5" x14ac:dyDescent="0.25">
      <c r="A771" s="33"/>
      <c r="B771" s="33"/>
      <c r="C771" s="33"/>
      <c r="D771" s="33"/>
      <c r="E771" s="33"/>
    </row>
    <row r="772" spans="1:5" x14ac:dyDescent="0.25">
      <c r="A772" s="33"/>
      <c r="B772" s="33"/>
      <c r="C772" s="33"/>
      <c r="D772" s="33"/>
      <c r="E772" s="33"/>
    </row>
    <row r="773" spans="1:5" x14ac:dyDescent="0.25">
      <c r="A773" s="33"/>
      <c r="B773" s="33"/>
      <c r="C773" s="33"/>
      <c r="D773" s="33"/>
      <c r="E773" s="33"/>
    </row>
    <row r="774" spans="1:5" x14ac:dyDescent="0.25">
      <c r="A774" s="33"/>
      <c r="B774" s="33"/>
      <c r="C774" s="33"/>
      <c r="D774" s="33"/>
      <c r="E774" s="33"/>
    </row>
    <row r="775" spans="1:5" x14ac:dyDescent="0.25">
      <c r="A775" s="33"/>
      <c r="B775" s="33"/>
      <c r="C775" s="33"/>
      <c r="D775" s="33"/>
      <c r="E775" s="33"/>
    </row>
    <row r="776" spans="1:5" x14ac:dyDescent="0.25">
      <c r="A776" s="33"/>
      <c r="B776" s="33"/>
      <c r="C776" s="33"/>
      <c r="D776" s="33"/>
      <c r="E776" s="33"/>
    </row>
    <row r="777" spans="1:5" x14ac:dyDescent="0.25">
      <c r="A777" s="33"/>
      <c r="B777" s="33"/>
      <c r="C777" s="33"/>
      <c r="D777" s="33"/>
      <c r="E777" s="33"/>
    </row>
    <row r="778" spans="1:5" x14ac:dyDescent="0.25">
      <c r="A778" s="33"/>
      <c r="B778" s="33"/>
      <c r="C778" s="33"/>
      <c r="D778" s="33"/>
      <c r="E778" s="33"/>
    </row>
    <row r="779" spans="1:5" x14ac:dyDescent="0.25">
      <c r="A779" s="33"/>
      <c r="B779" s="33"/>
      <c r="C779" s="33"/>
      <c r="D779" s="33"/>
      <c r="E779" s="33"/>
    </row>
    <row r="780" spans="1:5" x14ac:dyDescent="0.25">
      <c r="A780" s="33"/>
      <c r="B780" s="33"/>
      <c r="C780" s="33"/>
      <c r="D780" s="33"/>
      <c r="E780" s="33"/>
    </row>
    <row r="781" spans="1:5" x14ac:dyDescent="0.25">
      <c r="A781" s="33"/>
      <c r="B781" s="33"/>
      <c r="C781" s="33"/>
      <c r="D781" s="33"/>
      <c r="E781" s="33"/>
    </row>
    <row r="782" spans="1:5" x14ac:dyDescent="0.25">
      <c r="A782" s="33"/>
      <c r="B782" s="33"/>
      <c r="C782" s="33"/>
      <c r="D782" s="33"/>
      <c r="E782" s="33"/>
    </row>
    <row r="783" spans="1:5" x14ac:dyDescent="0.25">
      <c r="A783" s="33"/>
      <c r="B783" s="33"/>
      <c r="C783" s="33"/>
      <c r="D783" s="33"/>
      <c r="E783" s="33"/>
    </row>
    <row r="784" spans="1:5" x14ac:dyDescent="0.25">
      <c r="A784" s="33"/>
      <c r="B784" s="33"/>
      <c r="C784" s="33"/>
      <c r="D784" s="33"/>
      <c r="E784" s="33"/>
    </row>
    <row r="785" spans="1:5" x14ac:dyDescent="0.25">
      <c r="A785" s="33"/>
      <c r="B785" s="33"/>
      <c r="C785" s="33"/>
      <c r="D785" s="33"/>
      <c r="E785" s="33"/>
    </row>
    <row r="786" spans="1:5" x14ac:dyDescent="0.25">
      <c r="A786" s="33"/>
      <c r="B786" s="33"/>
      <c r="C786" s="33"/>
      <c r="D786" s="33"/>
      <c r="E786" s="33"/>
    </row>
    <row r="787" spans="1:5" x14ac:dyDescent="0.25">
      <c r="A787" s="33"/>
      <c r="B787" s="33"/>
      <c r="C787" s="33"/>
      <c r="D787" s="33"/>
      <c r="E787" s="33"/>
    </row>
    <row r="788" spans="1:5" x14ac:dyDescent="0.25">
      <c r="A788" s="33"/>
      <c r="B788" s="33"/>
      <c r="C788" s="33"/>
      <c r="D788" s="33"/>
      <c r="E788" s="33"/>
    </row>
    <row r="789" spans="1:5" x14ac:dyDescent="0.25">
      <c r="A789" s="33"/>
      <c r="B789" s="33"/>
      <c r="C789" s="33"/>
      <c r="D789" s="33"/>
      <c r="E789" s="33"/>
    </row>
    <row r="790" spans="1:5" x14ac:dyDescent="0.25">
      <c r="A790" s="33"/>
      <c r="B790" s="33"/>
      <c r="C790" s="33"/>
      <c r="D790" s="33"/>
      <c r="E790" s="33"/>
    </row>
    <row r="791" spans="1:5" x14ac:dyDescent="0.25">
      <c r="A791" s="33"/>
      <c r="B791" s="33"/>
      <c r="C791" s="33"/>
      <c r="D791" s="33"/>
      <c r="E791" s="33"/>
    </row>
    <row r="792" spans="1:5" x14ac:dyDescent="0.25">
      <c r="A792" s="33"/>
      <c r="B792" s="33"/>
      <c r="C792" s="33"/>
      <c r="D792" s="33"/>
      <c r="E792" s="33"/>
    </row>
    <row r="793" spans="1:5" x14ac:dyDescent="0.25">
      <c r="A793" s="33"/>
      <c r="B793" s="33"/>
      <c r="C793" s="33"/>
      <c r="D793" s="33"/>
      <c r="E793" s="33"/>
    </row>
    <row r="794" spans="1:5" x14ac:dyDescent="0.25">
      <c r="A794" s="33"/>
      <c r="B794" s="33"/>
      <c r="C794" s="33"/>
      <c r="D794" s="33"/>
      <c r="E794" s="33"/>
    </row>
    <row r="795" spans="1:5" x14ac:dyDescent="0.25">
      <c r="A795" s="33"/>
      <c r="B795" s="33"/>
      <c r="C795" s="33"/>
      <c r="D795" s="33"/>
      <c r="E795" s="33"/>
    </row>
    <row r="796" spans="1:5" x14ac:dyDescent="0.25">
      <c r="A796" s="33"/>
      <c r="B796" s="33"/>
      <c r="C796" s="33"/>
      <c r="D796" s="33"/>
      <c r="E796" s="33"/>
    </row>
    <row r="797" spans="1:5" x14ac:dyDescent="0.25">
      <c r="A797" s="33"/>
      <c r="B797" s="33"/>
      <c r="C797" s="33"/>
      <c r="D797" s="33"/>
      <c r="E797" s="33"/>
    </row>
    <row r="798" spans="1:5" x14ac:dyDescent="0.25">
      <c r="A798" s="33"/>
      <c r="B798" s="33"/>
      <c r="C798" s="33"/>
      <c r="D798" s="33"/>
      <c r="E798" s="33"/>
    </row>
    <row r="799" spans="1:5" x14ac:dyDescent="0.25">
      <c r="A799" s="33"/>
      <c r="B799" s="33"/>
      <c r="C799" s="33"/>
      <c r="D799" s="33"/>
      <c r="E799" s="33"/>
    </row>
    <row r="800" spans="1:5" x14ac:dyDescent="0.25">
      <c r="A800" s="33"/>
      <c r="B800" s="33"/>
      <c r="C800" s="33"/>
      <c r="D800" s="33"/>
      <c r="E800" s="33"/>
    </row>
    <row r="801" spans="1:5" x14ac:dyDescent="0.25">
      <c r="A801" s="33"/>
      <c r="B801" s="33"/>
      <c r="C801" s="33"/>
      <c r="D801" s="33"/>
      <c r="E801" s="33"/>
    </row>
    <row r="802" spans="1:5" x14ac:dyDescent="0.25">
      <c r="A802" s="33"/>
      <c r="B802" s="33"/>
      <c r="C802" s="33"/>
      <c r="D802" s="33"/>
      <c r="E802" s="33"/>
    </row>
    <row r="803" spans="1:5" x14ac:dyDescent="0.25">
      <c r="A803" s="33"/>
      <c r="B803" s="33"/>
      <c r="C803" s="33"/>
      <c r="D803" s="33"/>
      <c r="E803" s="33"/>
    </row>
    <row r="804" spans="1:5" x14ac:dyDescent="0.25">
      <c r="A804" s="33"/>
      <c r="B804" s="33"/>
      <c r="C804" s="33"/>
      <c r="D804" s="33"/>
      <c r="E804" s="33"/>
    </row>
    <row r="805" spans="1:5" x14ac:dyDescent="0.25">
      <c r="A805" s="33"/>
      <c r="B805" s="33"/>
      <c r="C805" s="33"/>
      <c r="D805" s="33"/>
      <c r="E805" s="33"/>
    </row>
    <row r="806" spans="1:5" x14ac:dyDescent="0.25">
      <c r="A806" s="33"/>
      <c r="B806" s="33"/>
      <c r="C806" s="33"/>
      <c r="D806" s="33"/>
      <c r="E806" s="33"/>
    </row>
    <row r="807" spans="1:5" x14ac:dyDescent="0.25">
      <c r="A807" s="33"/>
      <c r="B807" s="33"/>
      <c r="C807" s="33"/>
      <c r="D807" s="33"/>
      <c r="E807" s="33"/>
    </row>
    <row r="808" spans="1:5" x14ac:dyDescent="0.25">
      <c r="A808" s="33"/>
      <c r="B808" s="33"/>
      <c r="C808" s="33"/>
      <c r="D808" s="33"/>
      <c r="E808" s="33"/>
    </row>
    <row r="809" spans="1:5" x14ac:dyDescent="0.25">
      <c r="A809" s="33"/>
      <c r="B809" s="33"/>
      <c r="C809" s="33"/>
      <c r="D809" s="33"/>
      <c r="E809" s="33"/>
    </row>
    <row r="810" spans="1:5" x14ac:dyDescent="0.25">
      <c r="A810" s="33"/>
      <c r="B810" s="33"/>
      <c r="C810" s="33"/>
      <c r="D810" s="33"/>
      <c r="E810" s="33"/>
    </row>
    <row r="811" spans="1:5" x14ac:dyDescent="0.25">
      <c r="A811" s="33"/>
      <c r="B811" s="33"/>
      <c r="C811" s="33"/>
      <c r="D811" s="33"/>
      <c r="E811" s="33"/>
    </row>
    <row r="812" spans="1:5" x14ac:dyDescent="0.25">
      <c r="A812" s="33"/>
      <c r="B812" s="33"/>
      <c r="C812" s="33"/>
      <c r="D812" s="33"/>
      <c r="E812" s="33"/>
    </row>
    <row r="813" spans="1:5" x14ac:dyDescent="0.25">
      <c r="A813" s="33"/>
      <c r="B813" s="33"/>
      <c r="C813" s="33"/>
      <c r="D813" s="33"/>
      <c r="E813" s="33"/>
    </row>
    <row r="814" spans="1:5" x14ac:dyDescent="0.25">
      <c r="A814" s="33"/>
      <c r="B814" s="33"/>
      <c r="C814" s="33"/>
      <c r="D814" s="33"/>
      <c r="E814" s="33"/>
    </row>
    <row r="815" spans="1:5" x14ac:dyDescent="0.25">
      <c r="A815" s="33"/>
      <c r="B815" s="33"/>
      <c r="C815" s="33"/>
      <c r="D815" s="33"/>
      <c r="E815" s="33"/>
    </row>
    <row r="816" spans="1:5" x14ac:dyDescent="0.25">
      <c r="A816" s="33"/>
      <c r="B816" s="33"/>
      <c r="C816" s="33"/>
      <c r="D816" s="33"/>
      <c r="E816" s="33"/>
    </row>
    <row r="817" spans="1:5" x14ac:dyDescent="0.25">
      <c r="A817" s="33"/>
      <c r="B817" s="33"/>
      <c r="C817" s="33"/>
      <c r="D817" s="33"/>
      <c r="E817" s="33"/>
    </row>
    <row r="818" spans="1:5" x14ac:dyDescent="0.25">
      <c r="A818" s="33"/>
      <c r="B818" s="33"/>
      <c r="C818" s="33"/>
      <c r="D818" s="33"/>
      <c r="E818" s="33"/>
    </row>
    <row r="819" spans="1:5" x14ac:dyDescent="0.25">
      <c r="A819" s="33"/>
      <c r="B819" s="33"/>
      <c r="C819" s="33"/>
      <c r="D819" s="33"/>
      <c r="E819" s="33"/>
    </row>
    <row r="820" spans="1:5" x14ac:dyDescent="0.25">
      <c r="A820" s="33"/>
      <c r="B820" s="33"/>
      <c r="C820" s="33"/>
      <c r="D820" s="33"/>
      <c r="E820" s="33"/>
    </row>
    <row r="821" spans="1:5" x14ac:dyDescent="0.25">
      <c r="A821" s="33"/>
      <c r="B821" s="33"/>
      <c r="C821" s="33"/>
      <c r="D821" s="33"/>
      <c r="E821" s="33"/>
    </row>
    <row r="822" spans="1:5" x14ac:dyDescent="0.25">
      <c r="A822" s="33"/>
      <c r="B822" s="33"/>
      <c r="C822" s="33"/>
      <c r="D822" s="33"/>
      <c r="E822" s="33"/>
    </row>
    <row r="823" spans="1:5" x14ac:dyDescent="0.25">
      <c r="A823" s="33"/>
      <c r="B823" s="33"/>
      <c r="C823" s="33"/>
      <c r="D823" s="33"/>
      <c r="E823" s="33"/>
    </row>
    <row r="824" spans="1:5" x14ac:dyDescent="0.25">
      <c r="A824" s="33"/>
      <c r="B824" s="33"/>
      <c r="C824" s="33"/>
      <c r="D824" s="33"/>
      <c r="E824" s="33"/>
    </row>
    <row r="825" spans="1:5" x14ac:dyDescent="0.25">
      <c r="A825" s="33"/>
      <c r="B825" s="33"/>
      <c r="C825" s="33"/>
      <c r="D825" s="33"/>
      <c r="E825" s="33"/>
    </row>
    <row r="826" spans="1:5" x14ac:dyDescent="0.25">
      <c r="A826" s="33"/>
      <c r="B826" s="33"/>
      <c r="C826" s="33"/>
      <c r="D826" s="33"/>
      <c r="E826" s="33"/>
    </row>
    <row r="827" spans="1:5" x14ac:dyDescent="0.25">
      <c r="A827" s="33"/>
      <c r="B827" s="33"/>
      <c r="C827" s="33"/>
      <c r="D827" s="33"/>
      <c r="E827" s="33"/>
    </row>
    <row r="828" spans="1:5" x14ac:dyDescent="0.25">
      <c r="A828" s="33"/>
      <c r="B828" s="33"/>
      <c r="C828" s="33"/>
      <c r="D828" s="33"/>
      <c r="E828" s="33"/>
    </row>
    <row r="829" spans="1:5" x14ac:dyDescent="0.25">
      <c r="A829" s="33"/>
      <c r="B829" s="33"/>
      <c r="C829" s="33"/>
      <c r="D829" s="33"/>
      <c r="E829" s="33"/>
    </row>
    <row r="830" spans="1:5" x14ac:dyDescent="0.25">
      <c r="A830" s="33"/>
      <c r="B830" s="33"/>
      <c r="C830" s="33"/>
      <c r="D830" s="33"/>
      <c r="E830" s="33"/>
    </row>
    <row r="831" spans="1:5" x14ac:dyDescent="0.25">
      <c r="A831" s="33"/>
      <c r="B831" s="33"/>
      <c r="C831" s="33"/>
      <c r="D831" s="33"/>
      <c r="E831" s="33"/>
    </row>
    <row r="832" spans="1:5" x14ac:dyDescent="0.25">
      <c r="A832" s="33"/>
      <c r="B832" s="33"/>
      <c r="C832" s="33"/>
      <c r="D832" s="33"/>
      <c r="E832" s="33"/>
    </row>
    <row r="833" spans="1:5" x14ac:dyDescent="0.25">
      <c r="A833" s="33"/>
      <c r="B833" s="33"/>
      <c r="C833" s="33"/>
      <c r="D833" s="33"/>
      <c r="E833" s="33"/>
    </row>
    <row r="834" spans="1:5" x14ac:dyDescent="0.25">
      <c r="A834" s="33"/>
      <c r="B834" s="33"/>
      <c r="C834" s="33"/>
      <c r="D834" s="33"/>
      <c r="E834" s="33"/>
    </row>
    <row r="835" spans="1:5" x14ac:dyDescent="0.25">
      <c r="A835" s="33"/>
      <c r="B835" s="33"/>
      <c r="C835" s="33"/>
      <c r="D835" s="33"/>
      <c r="E835" s="33"/>
    </row>
    <row r="836" spans="1:5" x14ac:dyDescent="0.25">
      <c r="A836" s="33"/>
      <c r="B836" s="33"/>
      <c r="C836" s="33"/>
      <c r="D836" s="33"/>
      <c r="E836" s="33"/>
    </row>
    <row r="837" spans="1:5" x14ac:dyDescent="0.25">
      <c r="A837" s="33"/>
      <c r="B837" s="33"/>
      <c r="C837" s="33"/>
      <c r="D837" s="33"/>
      <c r="E837" s="33"/>
    </row>
    <row r="838" spans="1:5" x14ac:dyDescent="0.25">
      <c r="A838" s="33"/>
      <c r="B838" s="33"/>
      <c r="C838" s="33"/>
      <c r="D838" s="33"/>
      <c r="E838" s="33"/>
    </row>
    <row r="839" spans="1:5" x14ac:dyDescent="0.25">
      <c r="A839" s="33"/>
      <c r="B839" s="33"/>
      <c r="C839" s="33"/>
      <c r="D839" s="33"/>
      <c r="E839" s="33"/>
    </row>
    <row r="840" spans="1:5" x14ac:dyDescent="0.25">
      <c r="A840" s="33"/>
      <c r="B840" s="33"/>
      <c r="C840" s="33"/>
      <c r="D840" s="33"/>
      <c r="E840" s="33"/>
    </row>
    <row r="841" spans="1:5" x14ac:dyDescent="0.25">
      <c r="A841" s="33"/>
      <c r="B841" s="33"/>
      <c r="C841" s="33"/>
      <c r="D841" s="33"/>
      <c r="E841" s="33"/>
    </row>
    <row r="842" spans="1:5" x14ac:dyDescent="0.25">
      <c r="A842" s="33"/>
      <c r="B842" s="33"/>
      <c r="C842" s="33"/>
      <c r="D842" s="33"/>
      <c r="E842" s="33"/>
    </row>
    <row r="843" spans="1:5" x14ac:dyDescent="0.25">
      <c r="A843" s="33"/>
      <c r="B843" s="33"/>
      <c r="C843" s="33"/>
      <c r="D843" s="33"/>
      <c r="E843" s="33"/>
    </row>
    <row r="844" spans="1:5" x14ac:dyDescent="0.25">
      <c r="A844" s="33"/>
      <c r="B844" s="33"/>
      <c r="C844" s="33"/>
      <c r="D844" s="33"/>
      <c r="E844" s="33"/>
    </row>
    <row r="845" spans="1:5" x14ac:dyDescent="0.25">
      <c r="A845" s="33"/>
      <c r="B845" s="33"/>
      <c r="C845" s="33"/>
      <c r="D845" s="33"/>
      <c r="E845" s="33"/>
    </row>
    <row r="846" spans="1:5" x14ac:dyDescent="0.25">
      <c r="A846" s="33"/>
      <c r="B846" s="33"/>
      <c r="C846" s="33"/>
      <c r="D846" s="33"/>
      <c r="E846" s="33"/>
    </row>
    <row r="847" spans="1:5" x14ac:dyDescent="0.25">
      <c r="A847" s="33"/>
      <c r="B847" s="33"/>
      <c r="C847" s="33"/>
      <c r="D847" s="33"/>
      <c r="E847" s="33"/>
    </row>
    <row r="848" spans="1:5" x14ac:dyDescent="0.25">
      <c r="A848" s="33"/>
      <c r="B848" s="33"/>
      <c r="C848" s="33"/>
      <c r="D848" s="33"/>
      <c r="E848" s="33"/>
    </row>
    <row r="849" spans="1:5" x14ac:dyDescent="0.25">
      <c r="A849" s="33"/>
      <c r="B849" s="33"/>
      <c r="C849" s="33"/>
      <c r="D849" s="33"/>
      <c r="E849" s="33"/>
    </row>
    <row r="850" spans="1:5" x14ac:dyDescent="0.25">
      <c r="A850" s="33"/>
      <c r="B850" s="33"/>
      <c r="C850" s="33"/>
      <c r="D850" s="33"/>
      <c r="E850" s="33"/>
    </row>
    <row r="851" spans="1:5" x14ac:dyDescent="0.25">
      <c r="A851" s="33"/>
      <c r="B851" s="33"/>
      <c r="C851" s="33"/>
      <c r="D851" s="33"/>
      <c r="E851" s="33"/>
    </row>
    <row r="852" spans="1:5" x14ac:dyDescent="0.25">
      <c r="A852" s="33"/>
      <c r="B852" s="33"/>
      <c r="C852" s="33"/>
      <c r="D852" s="33"/>
      <c r="E852" s="33"/>
    </row>
    <row r="853" spans="1:5" x14ac:dyDescent="0.25">
      <c r="A853" s="33"/>
      <c r="B853" s="33"/>
      <c r="C853" s="33"/>
      <c r="D853" s="33"/>
      <c r="E853" s="33"/>
    </row>
    <row r="854" spans="1:5" x14ac:dyDescent="0.25">
      <c r="A854" s="33"/>
      <c r="B854" s="33"/>
      <c r="C854" s="33"/>
      <c r="D854" s="33"/>
      <c r="E854" s="33"/>
    </row>
    <row r="855" spans="1:5" x14ac:dyDescent="0.25">
      <c r="A855" s="33"/>
      <c r="B855" s="33"/>
      <c r="C855" s="33"/>
      <c r="D855" s="33"/>
      <c r="E855" s="33"/>
    </row>
    <row r="856" spans="1:5" x14ac:dyDescent="0.25">
      <c r="A856" s="33"/>
      <c r="B856" s="33"/>
      <c r="C856" s="33"/>
      <c r="D856" s="33"/>
      <c r="E856" s="33"/>
    </row>
    <row r="857" spans="1:5" x14ac:dyDescent="0.25">
      <c r="A857" s="33"/>
      <c r="B857" s="33"/>
      <c r="C857" s="33"/>
      <c r="D857" s="33"/>
      <c r="E857" s="33"/>
    </row>
    <row r="858" spans="1:5" x14ac:dyDescent="0.25">
      <c r="A858" s="33"/>
      <c r="B858" s="33"/>
      <c r="C858" s="33"/>
      <c r="D858" s="33"/>
      <c r="E858" s="33"/>
    </row>
    <row r="859" spans="1:5" x14ac:dyDescent="0.25">
      <c r="A859" s="33"/>
      <c r="B859" s="33"/>
      <c r="C859" s="33"/>
      <c r="D859" s="33"/>
      <c r="E859" s="33"/>
    </row>
    <row r="860" spans="1:5" x14ac:dyDescent="0.25">
      <c r="A860" s="33"/>
      <c r="B860" s="33"/>
      <c r="C860" s="33"/>
      <c r="D860" s="33"/>
      <c r="E860" s="33"/>
    </row>
    <row r="861" spans="1:5" x14ac:dyDescent="0.25">
      <c r="A861" s="33"/>
      <c r="B861" s="33"/>
      <c r="C861" s="33"/>
      <c r="D861" s="33"/>
      <c r="E861" s="33"/>
    </row>
    <row r="862" spans="1:5" x14ac:dyDescent="0.25">
      <c r="A862" s="33"/>
      <c r="B862" s="33"/>
      <c r="C862" s="33"/>
      <c r="D862" s="33"/>
      <c r="E862" s="33"/>
    </row>
    <row r="863" spans="1:5" x14ac:dyDescent="0.25">
      <c r="A863" s="33"/>
      <c r="B863" s="33"/>
      <c r="C863" s="33"/>
      <c r="D863" s="33"/>
      <c r="E863" s="33"/>
    </row>
    <row r="864" spans="1:5" x14ac:dyDescent="0.25">
      <c r="A864" s="33"/>
      <c r="B864" s="33"/>
      <c r="C864" s="33"/>
      <c r="D864" s="33"/>
      <c r="E864" s="33"/>
    </row>
    <row r="865" spans="1:5" x14ac:dyDescent="0.25">
      <c r="A865" s="33"/>
      <c r="B865" s="33"/>
      <c r="C865" s="33"/>
      <c r="D865" s="33"/>
      <c r="E865" s="33"/>
    </row>
    <row r="866" spans="1:5" x14ac:dyDescent="0.25">
      <c r="A866" s="33"/>
      <c r="B866" s="33"/>
      <c r="C866" s="33"/>
      <c r="D866" s="33"/>
      <c r="E866" s="33"/>
    </row>
    <row r="867" spans="1:5" x14ac:dyDescent="0.25">
      <c r="A867" s="33"/>
      <c r="B867" s="33"/>
      <c r="C867" s="33"/>
      <c r="D867" s="33"/>
      <c r="E867" s="33"/>
    </row>
    <row r="868" spans="1:5" x14ac:dyDescent="0.25">
      <c r="A868" s="33"/>
      <c r="B868" s="33"/>
      <c r="C868" s="33"/>
      <c r="D868" s="33"/>
      <c r="E868" s="33"/>
    </row>
    <row r="869" spans="1:5" x14ac:dyDescent="0.25">
      <c r="A869" s="33"/>
      <c r="B869" s="33"/>
      <c r="C869" s="33"/>
      <c r="D869" s="33"/>
      <c r="E869" s="33"/>
    </row>
    <row r="870" spans="1:5" x14ac:dyDescent="0.25">
      <c r="A870" s="33"/>
      <c r="B870" s="33"/>
      <c r="C870" s="33"/>
      <c r="D870" s="33"/>
      <c r="E870" s="33"/>
    </row>
    <row r="871" spans="1:5" x14ac:dyDescent="0.25">
      <c r="A871" s="33"/>
      <c r="B871" s="33"/>
      <c r="C871" s="33"/>
      <c r="D871" s="33"/>
      <c r="E871" s="33"/>
    </row>
    <row r="872" spans="1:5" x14ac:dyDescent="0.25">
      <c r="A872" s="33"/>
      <c r="B872" s="33"/>
      <c r="C872" s="33"/>
      <c r="D872" s="33"/>
      <c r="E872" s="33"/>
    </row>
    <row r="873" spans="1:5" x14ac:dyDescent="0.25">
      <c r="A873" s="33"/>
      <c r="B873" s="33"/>
      <c r="C873" s="33"/>
      <c r="D873" s="33"/>
      <c r="E873" s="33"/>
    </row>
    <row r="874" spans="1:5" x14ac:dyDescent="0.25">
      <c r="A874" s="33"/>
      <c r="B874" s="33"/>
      <c r="C874" s="33"/>
      <c r="D874" s="33"/>
      <c r="E874" s="33"/>
    </row>
    <row r="875" spans="1:5" x14ac:dyDescent="0.25">
      <c r="A875" s="33"/>
      <c r="B875" s="33"/>
      <c r="C875" s="33"/>
      <c r="D875" s="33"/>
      <c r="E875" s="33"/>
    </row>
    <row r="876" spans="1:5" x14ac:dyDescent="0.25">
      <c r="A876" s="33"/>
      <c r="B876" s="33"/>
      <c r="C876" s="33"/>
      <c r="D876" s="33"/>
      <c r="E876" s="33"/>
    </row>
    <row r="877" spans="1:5" x14ac:dyDescent="0.25">
      <c r="A877" s="33"/>
      <c r="B877" s="33"/>
      <c r="C877" s="33"/>
      <c r="D877" s="33"/>
      <c r="E877" s="33"/>
    </row>
    <row r="878" spans="1:5" x14ac:dyDescent="0.25">
      <c r="A878" s="33"/>
      <c r="B878" s="33"/>
      <c r="C878" s="33"/>
      <c r="D878" s="33"/>
      <c r="E878" s="33"/>
    </row>
    <row r="879" spans="1:5" x14ac:dyDescent="0.25">
      <c r="A879" s="33"/>
      <c r="B879" s="33"/>
      <c r="C879" s="33"/>
      <c r="D879" s="33"/>
      <c r="E879" s="33"/>
    </row>
    <row r="880" spans="1:5" x14ac:dyDescent="0.25">
      <c r="A880" s="33"/>
      <c r="B880" s="33"/>
      <c r="C880" s="33"/>
      <c r="D880" s="33"/>
      <c r="E880" s="33"/>
    </row>
    <row r="881" spans="1:5" x14ac:dyDescent="0.25">
      <c r="A881" s="33"/>
      <c r="B881" s="33"/>
      <c r="C881" s="33"/>
      <c r="D881" s="33"/>
      <c r="E881" s="33"/>
    </row>
    <row r="882" spans="1:5" x14ac:dyDescent="0.25">
      <c r="A882" s="33"/>
      <c r="B882" s="33"/>
      <c r="C882" s="33"/>
      <c r="D882" s="33"/>
      <c r="E882" s="33"/>
    </row>
    <row r="883" spans="1:5" x14ac:dyDescent="0.25">
      <c r="A883" s="33"/>
      <c r="B883" s="33"/>
      <c r="C883" s="33"/>
      <c r="D883" s="33"/>
      <c r="E883" s="33"/>
    </row>
    <row r="884" spans="1:5" x14ac:dyDescent="0.25">
      <c r="A884" s="33"/>
      <c r="B884" s="33"/>
      <c r="C884" s="33"/>
      <c r="D884" s="33"/>
      <c r="E884" s="33"/>
    </row>
    <row r="885" spans="1:5" x14ac:dyDescent="0.25">
      <c r="A885" s="33"/>
      <c r="B885" s="33"/>
      <c r="C885" s="33"/>
      <c r="D885" s="33"/>
      <c r="E885" s="33"/>
    </row>
    <row r="886" spans="1:5" x14ac:dyDescent="0.25">
      <c r="A886" s="33"/>
      <c r="B886" s="33"/>
      <c r="C886" s="33"/>
      <c r="D886" s="33"/>
      <c r="E886" s="33"/>
    </row>
    <row r="887" spans="1:5" x14ac:dyDescent="0.25">
      <c r="A887" s="33"/>
      <c r="B887" s="33"/>
      <c r="C887" s="33"/>
      <c r="D887" s="33"/>
      <c r="E887" s="33"/>
    </row>
    <row r="888" spans="1:5" x14ac:dyDescent="0.25">
      <c r="A888" s="33"/>
      <c r="B888" s="33"/>
      <c r="C888" s="33"/>
      <c r="D888" s="33"/>
      <c r="E888" s="33"/>
    </row>
    <row r="889" spans="1:5" x14ac:dyDescent="0.25">
      <c r="A889" s="33"/>
      <c r="B889" s="33"/>
      <c r="C889" s="33"/>
      <c r="D889" s="33"/>
      <c r="E889" s="33"/>
    </row>
    <row r="890" spans="1:5" x14ac:dyDescent="0.25">
      <c r="A890" s="33"/>
      <c r="B890" s="33"/>
      <c r="C890" s="33"/>
      <c r="D890" s="33"/>
      <c r="E890" s="33"/>
    </row>
    <row r="891" spans="1:5" x14ac:dyDescent="0.25">
      <c r="A891" s="33"/>
      <c r="B891" s="33"/>
      <c r="C891" s="33"/>
      <c r="D891" s="33"/>
      <c r="E891" s="33"/>
    </row>
    <row r="892" spans="1:5" x14ac:dyDescent="0.25">
      <c r="A892" s="33"/>
      <c r="B892" s="33"/>
      <c r="C892" s="33"/>
      <c r="D892" s="33"/>
      <c r="E892" s="33"/>
    </row>
    <row r="893" spans="1:5" x14ac:dyDescent="0.25">
      <c r="A893" s="33"/>
      <c r="B893" s="33"/>
      <c r="C893" s="33"/>
      <c r="D893" s="33"/>
      <c r="E893" s="33"/>
    </row>
    <row r="894" spans="1:5" x14ac:dyDescent="0.25">
      <c r="A894" s="33"/>
      <c r="B894" s="33"/>
      <c r="C894" s="33"/>
      <c r="D894" s="33"/>
      <c r="E894" s="33"/>
    </row>
    <row r="895" spans="1:5" x14ac:dyDescent="0.25">
      <c r="A895" s="33"/>
      <c r="B895" s="33"/>
      <c r="C895" s="33"/>
      <c r="D895" s="33"/>
      <c r="E895" s="33"/>
    </row>
    <row r="896" spans="1:5" x14ac:dyDescent="0.25">
      <c r="A896" s="33"/>
      <c r="B896" s="33"/>
      <c r="C896" s="33"/>
      <c r="D896" s="33"/>
      <c r="E896" s="33"/>
    </row>
    <row r="897" spans="1:5" x14ac:dyDescent="0.25">
      <c r="A897" s="33"/>
      <c r="B897" s="33"/>
      <c r="C897" s="33"/>
      <c r="D897" s="33"/>
      <c r="E897" s="33"/>
    </row>
    <row r="898" spans="1:5" x14ac:dyDescent="0.25">
      <c r="A898" s="33"/>
      <c r="B898" s="33"/>
      <c r="C898" s="33"/>
      <c r="D898" s="33"/>
      <c r="E898" s="33"/>
    </row>
    <row r="899" spans="1:5" x14ac:dyDescent="0.25">
      <c r="A899" s="33"/>
      <c r="B899" s="33"/>
      <c r="C899" s="33"/>
      <c r="D899" s="33"/>
      <c r="E899" s="33"/>
    </row>
    <row r="900" spans="1:5" x14ac:dyDescent="0.25">
      <c r="A900" s="33"/>
      <c r="B900" s="33"/>
      <c r="C900" s="33"/>
      <c r="D900" s="33"/>
      <c r="E900" s="33"/>
    </row>
    <row r="901" spans="1:5" x14ac:dyDescent="0.25">
      <c r="A901" s="33"/>
      <c r="B901" s="33"/>
      <c r="C901" s="33"/>
      <c r="D901" s="33"/>
      <c r="E901" s="33"/>
    </row>
    <row r="902" spans="1:5" x14ac:dyDescent="0.25">
      <c r="A902" s="33"/>
      <c r="B902" s="33"/>
      <c r="C902" s="33"/>
      <c r="D902" s="33"/>
      <c r="E902" s="33"/>
    </row>
    <row r="903" spans="1:5" x14ac:dyDescent="0.25">
      <c r="A903" s="33"/>
      <c r="B903" s="33"/>
      <c r="C903" s="33"/>
      <c r="D903" s="33"/>
      <c r="E903" s="33"/>
    </row>
    <row r="904" spans="1:5" x14ac:dyDescent="0.25">
      <c r="A904" s="33"/>
      <c r="B904" s="33"/>
      <c r="C904" s="33"/>
      <c r="D904" s="33"/>
      <c r="E904" s="33"/>
    </row>
    <row r="905" spans="1:5" x14ac:dyDescent="0.25">
      <c r="A905" s="33"/>
      <c r="B905" s="33"/>
      <c r="C905" s="33"/>
      <c r="D905" s="33"/>
      <c r="E905" s="33"/>
    </row>
    <row r="906" spans="1:5" x14ac:dyDescent="0.25">
      <c r="A906" s="33"/>
      <c r="B906" s="33"/>
      <c r="C906" s="33"/>
      <c r="D906" s="33"/>
      <c r="E906" s="33"/>
    </row>
    <row r="907" spans="1:5" x14ac:dyDescent="0.25">
      <c r="A907" s="33"/>
      <c r="B907" s="33"/>
      <c r="C907" s="33"/>
      <c r="D907" s="33"/>
      <c r="E907" s="33"/>
    </row>
    <row r="908" spans="1:5" x14ac:dyDescent="0.25">
      <c r="A908" s="33"/>
      <c r="B908" s="33"/>
      <c r="C908" s="33"/>
      <c r="D908" s="33"/>
      <c r="E908" s="33"/>
    </row>
    <row r="909" spans="1:5" x14ac:dyDescent="0.25">
      <c r="A909" s="33"/>
      <c r="B909" s="33"/>
      <c r="C909" s="33"/>
      <c r="D909" s="33"/>
      <c r="E909" s="33"/>
    </row>
    <row r="910" spans="1:5" x14ac:dyDescent="0.25">
      <c r="A910" s="33"/>
      <c r="B910" s="33"/>
      <c r="C910" s="33"/>
      <c r="D910" s="33"/>
      <c r="E910" s="33"/>
    </row>
    <row r="911" spans="1:5" x14ac:dyDescent="0.25">
      <c r="A911" s="33"/>
      <c r="B911" s="33"/>
      <c r="C911" s="33"/>
      <c r="D911" s="33"/>
      <c r="E911" s="33"/>
    </row>
    <row r="912" spans="1:5" x14ac:dyDescent="0.25">
      <c r="A912" s="33"/>
      <c r="B912" s="33"/>
      <c r="C912" s="33"/>
      <c r="D912" s="33"/>
      <c r="E912" s="33"/>
    </row>
    <row r="913" spans="1:5" x14ac:dyDescent="0.25">
      <c r="A913" s="33"/>
      <c r="B913" s="33"/>
      <c r="C913" s="33"/>
      <c r="D913" s="33"/>
      <c r="E913" s="33"/>
    </row>
    <row r="914" spans="1:5" x14ac:dyDescent="0.25">
      <c r="A914" s="33"/>
      <c r="B914" s="33"/>
      <c r="C914" s="33"/>
      <c r="D914" s="33"/>
      <c r="E914" s="33"/>
    </row>
    <row r="915" spans="1:5" x14ac:dyDescent="0.25">
      <c r="A915" s="33"/>
      <c r="B915" s="33"/>
      <c r="C915" s="33"/>
      <c r="D915" s="33"/>
      <c r="E915" s="33"/>
    </row>
    <row r="916" spans="1:5" x14ac:dyDescent="0.25">
      <c r="A916" s="33"/>
      <c r="B916" s="33"/>
      <c r="C916" s="33"/>
      <c r="D916" s="33"/>
      <c r="E916" s="33"/>
    </row>
    <row r="917" spans="1:5" x14ac:dyDescent="0.25">
      <c r="A917" s="33"/>
      <c r="B917" s="33"/>
      <c r="C917" s="33"/>
      <c r="D917" s="33"/>
      <c r="E917" s="33"/>
    </row>
    <row r="918" spans="1:5" x14ac:dyDescent="0.25">
      <c r="A918" s="33"/>
      <c r="B918" s="33"/>
      <c r="C918" s="33"/>
      <c r="D918" s="33"/>
      <c r="E918" s="33"/>
    </row>
    <row r="919" spans="1:5" x14ac:dyDescent="0.25">
      <c r="A919" s="33"/>
      <c r="B919" s="33"/>
      <c r="C919" s="33"/>
      <c r="D919" s="33"/>
      <c r="E919" s="33"/>
    </row>
    <row r="920" spans="1:5" x14ac:dyDescent="0.25">
      <c r="A920" s="33"/>
      <c r="B920" s="33"/>
      <c r="C920" s="33"/>
      <c r="D920" s="33"/>
      <c r="E920" s="33"/>
    </row>
    <row r="921" spans="1:5" x14ac:dyDescent="0.25">
      <c r="A921" s="33"/>
      <c r="B921" s="33"/>
      <c r="C921" s="33"/>
      <c r="D921" s="33"/>
      <c r="E921" s="33"/>
    </row>
    <row r="922" spans="1:5" x14ac:dyDescent="0.25">
      <c r="A922" s="33"/>
      <c r="B922" s="33"/>
      <c r="C922" s="33"/>
      <c r="D922" s="33"/>
      <c r="E922" s="33"/>
    </row>
    <row r="923" spans="1:5" x14ac:dyDescent="0.25">
      <c r="A923" s="33"/>
      <c r="B923" s="33"/>
      <c r="C923" s="33"/>
      <c r="D923" s="33"/>
      <c r="E923" s="33"/>
    </row>
    <row r="924" spans="1:5" x14ac:dyDescent="0.25">
      <c r="A924" s="33"/>
      <c r="B924" s="33"/>
      <c r="C924" s="33"/>
      <c r="D924" s="33"/>
      <c r="E924" s="33"/>
    </row>
    <row r="925" spans="1:5" x14ac:dyDescent="0.25">
      <c r="A925" s="33"/>
      <c r="B925" s="33"/>
      <c r="C925" s="33"/>
      <c r="D925" s="33"/>
      <c r="E925" s="33"/>
    </row>
    <row r="926" spans="1:5" x14ac:dyDescent="0.25">
      <c r="A926" s="33"/>
      <c r="B926" s="33"/>
      <c r="C926" s="33"/>
      <c r="D926" s="33"/>
      <c r="E926" s="33"/>
    </row>
    <row r="927" spans="1:5" x14ac:dyDescent="0.25">
      <c r="A927" s="33"/>
      <c r="B927" s="33"/>
      <c r="C927" s="33"/>
      <c r="D927" s="33"/>
      <c r="E927" s="33"/>
    </row>
    <row r="928" spans="1:5" x14ac:dyDescent="0.25">
      <c r="A928" s="33"/>
      <c r="B928" s="33"/>
      <c r="C928" s="33"/>
      <c r="D928" s="33"/>
      <c r="E928" s="33"/>
    </row>
    <row r="929" spans="1:5" x14ac:dyDescent="0.25">
      <c r="A929" s="33"/>
      <c r="B929" s="33"/>
      <c r="C929" s="33"/>
      <c r="D929" s="33"/>
      <c r="E929" s="33"/>
    </row>
    <row r="930" spans="1:5" x14ac:dyDescent="0.25">
      <c r="A930" s="33"/>
      <c r="B930" s="33"/>
      <c r="C930" s="33"/>
      <c r="D930" s="33"/>
      <c r="E930" s="33"/>
    </row>
    <row r="931" spans="1:5" x14ac:dyDescent="0.25">
      <c r="A931" s="33"/>
      <c r="B931" s="33"/>
      <c r="C931" s="33"/>
      <c r="D931" s="33"/>
      <c r="E931" s="33"/>
    </row>
    <row r="932" spans="1:5" x14ac:dyDescent="0.25">
      <c r="A932" s="33"/>
      <c r="B932" s="33"/>
      <c r="C932" s="33"/>
      <c r="D932" s="33"/>
      <c r="E932" s="33"/>
    </row>
    <row r="933" spans="1:5" x14ac:dyDescent="0.25">
      <c r="A933" s="33"/>
      <c r="B933" s="33"/>
      <c r="C933" s="33"/>
      <c r="D933" s="33"/>
      <c r="E933" s="33"/>
    </row>
    <row r="934" spans="1:5" x14ac:dyDescent="0.25">
      <c r="A934" s="33"/>
      <c r="B934" s="33"/>
      <c r="C934" s="33"/>
      <c r="D934" s="33"/>
      <c r="E934" s="33"/>
    </row>
    <row r="935" spans="1:5" x14ac:dyDescent="0.25">
      <c r="A935" s="33"/>
      <c r="B935" s="33"/>
      <c r="C935" s="33"/>
      <c r="D935" s="33"/>
      <c r="E935" s="33"/>
    </row>
    <row r="936" spans="1:5" x14ac:dyDescent="0.25">
      <c r="A936" s="33"/>
      <c r="B936" s="33"/>
      <c r="C936" s="33"/>
      <c r="D936" s="33"/>
      <c r="E936" s="33"/>
    </row>
    <row r="937" spans="1:5" x14ac:dyDescent="0.25">
      <c r="A937" s="33"/>
      <c r="B937" s="33"/>
      <c r="C937" s="33"/>
      <c r="D937" s="33"/>
      <c r="E937" s="33"/>
    </row>
    <row r="938" spans="1:5" x14ac:dyDescent="0.25">
      <c r="A938" s="33"/>
      <c r="B938" s="33"/>
      <c r="C938" s="33"/>
      <c r="D938" s="33"/>
      <c r="E938" s="33"/>
    </row>
    <row r="939" spans="1:5" x14ac:dyDescent="0.25">
      <c r="A939" s="33"/>
      <c r="B939" s="33"/>
      <c r="C939" s="33"/>
      <c r="D939" s="33"/>
      <c r="E939" s="33"/>
    </row>
    <row r="940" spans="1:5" x14ac:dyDescent="0.25">
      <c r="A940" s="33"/>
      <c r="B940" s="33"/>
      <c r="C940" s="33"/>
      <c r="D940" s="33"/>
      <c r="E940" s="33"/>
    </row>
    <row r="941" spans="1:5" x14ac:dyDescent="0.25">
      <c r="A941" s="33"/>
      <c r="B941" s="33"/>
      <c r="C941" s="33"/>
      <c r="D941" s="33"/>
      <c r="E941" s="33"/>
    </row>
    <row r="942" spans="1:5" x14ac:dyDescent="0.25">
      <c r="A942" s="33"/>
      <c r="B942" s="33"/>
      <c r="C942" s="33"/>
      <c r="D942" s="33"/>
      <c r="E942" s="33"/>
    </row>
    <row r="943" spans="1:5" x14ac:dyDescent="0.25">
      <c r="A943" s="33"/>
      <c r="B943" s="33"/>
      <c r="C943" s="33"/>
      <c r="D943" s="33"/>
      <c r="E943" s="33"/>
    </row>
    <row r="944" spans="1:5" x14ac:dyDescent="0.25">
      <c r="A944" s="33"/>
      <c r="B944" s="33"/>
      <c r="C944" s="33"/>
      <c r="D944" s="33"/>
      <c r="E944" s="33"/>
    </row>
    <row r="945" spans="1:5" x14ac:dyDescent="0.25">
      <c r="A945" s="33"/>
      <c r="B945" s="33"/>
      <c r="C945" s="33"/>
      <c r="D945" s="33"/>
      <c r="E945" s="33"/>
    </row>
    <row r="946" spans="1:5" x14ac:dyDescent="0.25">
      <c r="A946" s="33"/>
      <c r="B946" s="33"/>
      <c r="C946" s="33"/>
      <c r="D946" s="33"/>
      <c r="E946" s="33"/>
    </row>
    <row r="947" spans="1:5" x14ac:dyDescent="0.25">
      <c r="A947" s="33"/>
      <c r="B947" s="33"/>
      <c r="C947" s="33"/>
      <c r="D947" s="33"/>
      <c r="E947" s="33"/>
    </row>
    <row r="948" spans="1:5" x14ac:dyDescent="0.25">
      <c r="A948" s="33"/>
      <c r="B948" s="33"/>
      <c r="C948" s="33"/>
      <c r="D948" s="33"/>
      <c r="E948" s="33"/>
    </row>
    <row r="949" spans="1:5" x14ac:dyDescent="0.25">
      <c r="A949" s="33"/>
      <c r="B949" s="33"/>
      <c r="C949" s="33"/>
      <c r="D949" s="33"/>
      <c r="E949" s="33"/>
    </row>
    <row r="950" spans="1:5" x14ac:dyDescent="0.25">
      <c r="A950" s="33"/>
      <c r="B950" s="33"/>
      <c r="C950" s="33"/>
      <c r="D950" s="33"/>
      <c r="E950" s="33"/>
    </row>
    <row r="951" spans="1:5" x14ac:dyDescent="0.25">
      <c r="A951" s="33"/>
      <c r="B951" s="33"/>
      <c r="C951" s="33"/>
      <c r="D951" s="33"/>
      <c r="E951" s="33"/>
    </row>
    <row r="952" spans="1:5" x14ac:dyDescent="0.25">
      <c r="A952" s="33"/>
      <c r="B952" s="33"/>
      <c r="C952" s="33"/>
      <c r="D952" s="33"/>
      <c r="E952" s="33"/>
    </row>
    <row r="953" spans="1:5" x14ac:dyDescent="0.25">
      <c r="A953" s="33"/>
      <c r="B953" s="33"/>
      <c r="C953" s="33"/>
      <c r="D953" s="33"/>
      <c r="E953" s="33"/>
    </row>
    <row r="954" spans="1:5" x14ac:dyDescent="0.25">
      <c r="A954" s="33"/>
      <c r="B954" s="33"/>
      <c r="C954" s="33"/>
      <c r="D954" s="33"/>
      <c r="E954" s="33"/>
    </row>
    <row r="955" spans="1:5" x14ac:dyDescent="0.25">
      <c r="A955" s="33"/>
      <c r="B955" s="33"/>
      <c r="C955" s="33"/>
      <c r="D955" s="33"/>
      <c r="E955" s="33"/>
    </row>
    <row r="956" spans="1:5" x14ac:dyDescent="0.25">
      <c r="A956" s="33"/>
      <c r="B956" s="33"/>
      <c r="C956" s="33"/>
      <c r="D956" s="33"/>
      <c r="E956" s="33"/>
    </row>
    <row r="957" spans="1:5" x14ac:dyDescent="0.25">
      <c r="A957" s="33"/>
      <c r="B957" s="33"/>
      <c r="C957" s="33"/>
      <c r="D957" s="33"/>
      <c r="E957" s="33"/>
    </row>
    <row r="958" spans="1:5" x14ac:dyDescent="0.25">
      <c r="A958" s="33"/>
      <c r="B958" s="33"/>
      <c r="C958" s="33"/>
      <c r="D958" s="33"/>
      <c r="E958" s="33"/>
    </row>
    <row r="959" spans="1:5" x14ac:dyDescent="0.25">
      <c r="A959" s="33"/>
      <c r="B959" s="33"/>
      <c r="C959" s="33"/>
      <c r="D959" s="33"/>
      <c r="E959" s="33"/>
    </row>
    <row r="960" spans="1:5" x14ac:dyDescent="0.25">
      <c r="A960" s="33"/>
      <c r="B960" s="33"/>
      <c r="C960" s="33"/>
      <c r="D960" s="33"/>
      <c r="E960" s="33"/>
    </row>
    <row r="961" spans="1:5" x14ac:dyDescent="0.25">
      <c r="A961" s="33"/>
      <c r="B961" s="33"/>
      <c r="C961" s="33"/>
      <c r="D961" s="33"/>
      <c r="E961" s="33"/>
    </row>
    <row r="962" spans="1:5" x14ac:dyDescent="0.25">
      <c r="A962" s="33"/>
      <c r="B962" s="33"/>
      <c r="C962" s="33"/>
      <c r="D962" s="33"/>
      <c r="E962" s="33"/>
    </row>
    <row r="963" spans="1:5" x14ac:dyDescent="0.25">
      <c r="A963" s="33"/>
      <c r="B963" s="33"/>
      <c r="C963" s="33"/>
      <c r="D963" s="33"/>
      <c r="E963" s="33"/>
    </row>
    <row r="964" spans="1:5" x14ac:dyDescent="0.25">
      <c r="A964" s="33"/>
      <c r="B964" s="33"/>
      <c r="C964" s="33"/>
      <c r="D964" s="33"/>
      <c r="E964" s="33"/>
    </row>
    <row r="965" spans="1:5" x14ac:dyDescent="0.25">
      <c r="A965" s="33"/>
      <c r="B965" s="33"/>
      <c r="C965" s="33"/>
      <c r="D965" s="33"/>
      <c r="E965" s="33"/>
    </row>
    <row r="966" spans="1:5" x14ac:dyDescent="0.25">
      <c r="A966" s="33"/>
      <c r="B966" s="33"/>
      <c r="C966" s="33"/>
      <c r="D966" s="33"/>
      <c r="E966" s="33"/>
    </row>
    <row r="967" spans="1:5" x14ac:dyDescent="0.25">
      <c r="A967" s="33"/>
      <c r="B967" s="33"/>
      <c r="C967" s="33"/>
      <c r="D967" s="33"/>
      <c r="E967" s="33"/>
    </row>
    <row r="968" spans="1:5" x14ac:dyDescent="0.25">
      <c r="A968" s="33"/>
      <c r="B968" s="33"/>
      <c r="C968" s="33"/>
      <c r="D968" s="33"/>
      <c r="E968" s="33"/>
    </row>
    <row r="969" spans="1:5" x14ac:dyDescent="0.25">
      <c r="A969" s="33"/>
      <c r="B969" s="33"/>
      <c r="C969" s="33"/>
      <c r="D969" s="33"/>
      <c r="E969" s="33"/>
    </row>
    <row r="970" spans="1:5" x14ac:dyDescent="0.25">
      <c r="A970" s="33"/>
      <c r="B970" s="33"/>
      <c r="C970" s="33"/>
      <c r="D970" s="33"/>
      <c r="E970" s="33"/>
    </row>
    <row r="971" spans="1:5" x14ac:dyDescent="0.25">
      <c r="A971" s="33"/>
      <c r="B971" s="33"/>
      <c r="C971" s="33"/>
      <c r="D971" s="33"/>
      <c r="E971" s="33"/>
    </row>
    <row r="972" spans="1:5" x14ac:dyDescent="0.25">
      <c r="A972" s="33"/>
      <c r="B972" s="33"/>
      <c r="C972" s="33"/>
      <c r="D972" s="33"/>
      <c r="E972" s="33"/>
    </row>
    <row r="973" spans="1:5" x14ac:dyDescent="0.25">
      <c r="A973" s="33"/>
      <c r="B973" s="33"/>
      <c r="C973" s="33"/>
      <c r="D973" s="33"/>
      <c r="E973" s="33"/>
    </row>
    <row r="974" spans="1:5" x14ac:dyDescent="0.25">
      <c r="A974" s="33"/>
      <c r="B974" s="33"/>
      <c r="C974" s="33"/>
      <c r="D974" s="33"/>
      <c r="E974" s="33"/>
    </row>
    <row r="975" spans="1:5" x14ac:dyDescent="0.25">
      <c r="A975" s="33"/>
      <c r="B975" s="33"/>
      <c r="C975" s="33"/>
      <c r="D975" s="33"/>
      <c r="E975" s="33"/>
    </row>
    <row r="976" spans="1:5" x14ac:dyDescent="0.25">
      <c r="A976" s="33"/>
      <c r="B976" s="33"/>
      <c r="C976" s="33"/>
      <c r="D976" s="33"/>
      <c r="E976" s="33"/>
    </row>
    <row r="977" spans="1:5" x14ac:dyDescent="0.25">
      <c r="A977" s="33"/>
      <c r="B977" s="33"/>
      <c r="C977" s="33"/>
      <c r="D977" s="33"/>
      <c r="E977" s="33"/>
    </row>
    <row r="978" spans="1:5" x14ac:dyDescent="0.25">
      <c r="A978" s="33"/>
      <c r="B978" s="33"/>
      <c r="C978" s="33"/>
      <c r="D978" s="33"/>
      <c r="E978" s="33"/>
    </row>
    <row r="979" spans="1:5" x14ac:dyDescent="0.25">
      <c r="A979" s="33"/>
      <c r="B979" s="33"/>
      <c r="C979" s="33"/>
      <c r="D979" s="33"/>
      <c r="E979" s="33"/>
    </row>
    <row r="980" spans="1:5" x14ac:dyDescent="0.25">
      <c r="A980" s="33"/>
      <c r="B980" s="33"/>
      <c r="C980" s="33"/>
      <c r="D980" s="33"/>
      <c r="E980" s="33"/>
    </row>
    <row r="981" spans="1:5" x14ac:dyDescent="0.25">
      <c r="A981" s="33"/>
      <c r="B981" s="33"/>
      <c r="C981" s="33"/>
      <c r="D981" s="33"/>
      <c r="E981" s="33"/>
    </row>
    <row r="982" spans="1:5" x14ac:dyDescent="0.25">
      <c r="A982" s="33"/>
      <c r="B982" s="33"/>
      <c r="C982" s="33"/>
      <c r="D982" s="33"/>
      <c r="E982" s="33"/>
    </row>
    <row r="983" spans="1:5" x14ac:dyDescent="0.25">
      <c r="A983" s="33"/>
      <c r="B983" s="33"/>
      <c r="C983" s="33"/>
      <c r="D983" s="33"/>
      <c r="E983" s="33"/>
    </row>
    <row r="984" spans="1:5" x14ac:dyDescent="0.25">
      <c r="A984" s="33"/>
      <c r="B984" s="33"/>
      <c r="C984" s="33"/>
      <c r="D984" s="33"/>
      <c r="E984" s="33"/>
    </row>
    <row r="985" spans="1:5" x14ac:dyDescent="0.25">
      <c r="A985" s="33"/>
      <c r="B985" s="33"/>
      <c r="C985" s="33"/>
      <c r="D985" s="33"/>
      <c r="E985" s="33"/>
    </row>
    <row r="986" spans="1:5" x14ac:dyDescent="0.25">
      <c r="A986" s="33"/>
      <c r="B986" s="33"/>
      <c r="C986" s="33"/>
      <c r="D986" s="33"/>
      <c r="E986" s="33"/>
    </row>
    <row r="987" spans="1:5" x14ac:dyDescent="0.25">
      <c r="A987" s="33"/>
      <c r="B987" s="33"/>
      <c r="C987" s="33"/>
      <c r="D987" s="33"/>
      <c r="E987" s="33"/>
    </row>
    <row r="988" spans="1:5" x14ac:dyDescent="0.25">
      <c r="A988" s="33"/>
      <c r="B988" s="33"/>
      <c r="C988" s="33"/>
      <c r="D988" s="33"/>
      <c r="E988" s="33"/>
    </row>
    <row r="989" spans="1:5" x14ac:dyDescent="0.25">
      <c r="A989" s="33"/>
      <c r="B989" s="33"/>
      <c r="C989" s="33"/>
      <c r="D989" s="33"/>
      <c r="E989" s="33"/>
    </row>
    <row r="990" spans="1:5" x14ac:dyDescent="0.25">
      <c r="A990" s="33"/>
      <c r="B990" s="33"/>
      <c r="C990" s="33"/>
      <c r="D990" s="33"/>
      <c r="E990" s="33"/>
    </row>
    <row r="991" spans="1:5" x14ac:dyDescent="0.25">
      <c r="A991" s="33"/>
      <c r="B991" s="33"/>
      <c r="C991" s="33"/>
      <c r="D991" s="33"/>
      <c r="E991" s="33"/>
    </row>
    <row r="992" spans="1:5" x14ac:dyDescent="0.25">
      <c r="A992" s="33"/>
      <c r="B992" s="33"/>
      <c r="C992" s="33"/>
      <c r="D992" s="33"/>
      <c r="E992" s="33"/>
    </row>
    <row r="993" spans="1:5" x14ac:dyDescent="0.25">
      <c r="A993" s="33"/>
      <c r="B993" s="33"/>
      <c r="C993" s="33"/>
      <c r="D993" s="33"/>
      <c r="E993" s="33"/>
    </row>
    <row r="994" spans="1:5" x14ac:dyDescent="0.25">
      <c r="A994" s="33"/>
      <c r="B994" s="33"/>
      <c r="C994" s="33"/>
      <c r="D994" s="33"/>
      <c r="E994" s="33"/>
    </row>
    <row r="995" spans="1:5" x14ac:dyDescent="0.25">
      <c r="A995" s="33"/>
      <c r="B995" s="33"/>
      <c r="C995" s="33"/>
      <c r="D995" s="33"/>
      <c r="E995" s="33"/>
    </row>
    <row r="996" spans="1:5" x14ac:dyDescent="0.25">
      <c r="A996" s="33"/>
      <c r="B996" s="33"/>
      <c r="C996" s="33"/>
      <c r="D996" s="33"/>
      <c r="E996" s="33"/>
    </row>
    <row r="997" spans="1:5" x14ac:dyDescent="0.25">
      <c r="A997" s="33"/>
      <c r="B997" s="33"/>
      <c r="C997" s="33"/>
      <c r="D997" s="33"/>
      <c r="E997" s="33"/>
    </row>
    <row r="998" spans="1:5" x14ac:dyDescent="0.25">
      <c r="A998" s="33"/>
      <c r="B998" s="33"/>
      <c r="C998" s="33"/>
      <c r="D998" s="33"/>
      <c r="E998" s="33"/>
    </row>
    <row r="999" spans="1:5" x14ac:dyDescent="0.25">
      <c r="A999" s="33"/>
      <c r="B999" s="33"/>
      <c r="C999" s="33"/>
      <c r="D999" s="33"/>
      <c r="E999" s="33"/>
    </row>
    <row r="1000" spans="1:5" x14ac:dyDescent="0.25">
      <c r="A1000" s="33"/>
      <c r="B1000" s="33"/>
      <c r="C1000" s="33"/>
      <c r="D1000" s="33"/>
      <c r="E1000" s="33"/>
    </row>
  </sheetData>
  <pageMargins left="0.7" right="0.7" top="0.75" bottom="0.75" header="0.3" footer="0.3"/>
  <pageSetup paperSize="9" orientation="portrait" horizontalDpi="0" verticalDpi="0" r:id="rId1"/>
  <headerFooter>
    <oddHeader>&amp;C&amp;"Calibri,Bold"&amp;14 Reporte de Ventas - Guatemala - 2024</oddHeader>
    <oddFooter>&amp;L&amp;D&amp;RGenerado por F15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rarYCopiarDatos">
                <anchor moveWithCells="1" sizeWithCells="1">
                  <from>
                    <xdr:col>2</xdr:col>
                    <xdr:colOff>762000</xdr:colOff>
                    <xdr:row>0</xdr:row>
                    <xdr:rowOff>38100</xdr:rowOff>
                  </from>
                  <to>
                    <xdr:col>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ExportarPDF">
                <anchor moveWithCells="1" sizeWithCells="1">
                  <from>
                    <xdr:col>3</xdr:col>
                    <xdr:colOff>0</xdr:colOff>
                    <xdr:row>2</xdr:row>
                    <xdr:rowOff>28575</xdr:rowOff>
                  </from>
                  <to>
                    <xdr:col>4</xdr:col>
                    <xdr:colOff>314325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LimpiarResultados">
                <anchor moveWithCells="1" sizeWithCells="1">
                  <from>
                    <xdr:col>4</xdr:col>
                    <xdr:colOff>781050</xdr:colOff>
                    <xdr:row>2</xdr:row>
                    <xdr:rowOff>95250</xdr:rowOff>
                  </from>
                  <to>
                    <xdr:col>5</xdr:col>
                    <xdr:colOff>704850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964ED3B-45B1-4091-BD35-8945BB03C579}">
          <x14:formula1>
            <xm:f>Parametros!$N$2:$N$7</xm:f>
          </x14:formula1>
          <xm:sqref>B3</xm:sqref>
        </x14:dataValidation>
        <x14:dataValidation type="list" allowBlank="1" showInputMessage="1" showErrorMessage="1" xr:uid="{E5F33623-BB41-4770-A0EA-856CA2073DA6}">
          <x14:formula1>
            <xm:f>Parametros!$O$2:$O$5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Menú</vt:lpstr>
      <vt:lpstr>Matriz</vt:lpstr>
      <vt:lpstr>Grafico_Mensual</vt:lpstr>
      <vt:lpstr>Resumen KPIs</vt:lpstr>
      <vt:lpstr>td_PaisAnio</vt:lpstr>
      <vt:lpstr>Parametros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JDeyet</dc:creator>
  <cp:lastModifiedBy>Juan Estuardo Deyet</cp:lastModifiedBy>
  <cp:lastPrinted>2025-06-26T22:57:43Z</cp:lastPrinted>
  <dcterms:created xsi:type="dcterms:W3CDTF">2025-06-17T16:10:24Z</dcterms:created>
  <dcterms:modified xsi:type="dcterms:W3CDTF">2025-06-26T23:09:40Z</dcterms:modified>
</cp:coreProperties>
</file>